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91212ED3-5BCB-4CE2-97DB-0B181FF2E30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 Sale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1" l="1"/>
  <c r="S23" i="1"/>
  <c r="R23" i="1"/>
  <c r="I23" i="1"/>
  <c r="H23" i="1"/>
  <c r="G23" i="1"/>
  <c r="F23" i="1"/>
  <c r="E23" i="1"/>
  <c r="T22" i="1"/>
  <c r="S22" i="1"/>
  <c r="R22" i="1"/>
  <c r="I22" i="1"/>
  <c r="H22" i="1"/>
  <c r="G22" i="1"/>
  <c r="F22" i="1"/>
  <c r="E22" i="1"/>
  <c r="T21" i="1"/>
  <c r="S21" i="1"/>
  <c r="R21" i="1"/>
  <c r="I21" i="1"/>
  <c r="H21" i="1"/>
  <c r="G21" i="1"/>
  <c r="F21" i="1"/>
  <c r="E21" i="1"/>
  <c r="T20" i="1"/>
  <c r="S20" i="1"/>
  <c r="R20" i="1"/>
  <c r="I20" i="1"/>
  <c r="H20" i="1"/>
  <c r="G20" i="1"/>
  <c r="F20" i="1"/>
  <c r="E20" i="1"/>
  <c r="M19" i="1"/>
  <c r="L19" i="1"/>
  <c r="K19" i="1"/>
  <c r="J19" i="1"/>
  <c r="N19" i="1" s="1"/>
  <c r="O19" i="1" s="1"/>
  <c r="M18" i="1"/>
  <c r="L18" i="1"/>
  <c r="K18" i="1"/>
  <c r="J18" i="1"/>
  <c r="N18" i="1" s="1"/>
  <c r="M17" i="1"/>
  <c r="L17" i="1"/>
  <c r="K17" i="1"/>
  <c r="J17" i="1"/>
  <c r="N17" i="1" s="1"/>
  <c r="P17" i="1" s="1"/>
  <c r="M16" i="1"/>
  <c r="L16" i="1"/>
  <c r="K16" i="1"/>
  <c r="J16" i="1"/>
  <c r="N16" i="1" s="1"/>
  <c r="P16" i="1" s="1"/>
  <c r="M15" i="1"/>
  <c r="L15" i="1"/>
  <c r="K15" i="1"/>
  <c r="J15" i="1"/>
  <c r="N15" i="1" s="1"/>
  <c r="O15" i="1" s="1"/>
  <c r="M14" i="1"/>
  <c r="L14" i="1"/>
  <c r="K14" i="1"/>
  <c r="J14" i="1"/>
  <c r="N14" i="1" s="1"/>
  <c r="N13" i="1"/>
  <c r="O13" i="1" s="1"/>
  <c r="M13" i="1"/>
  <c r="L13" i="1"/>
  <c r="K13" i="1"/>
  <c r="J13" i="1"/>
  <c r="M12" i="1"/>
  <c r="L12" i="1"/>
  <c r="K12" i="1"/>
  <c r="J12" i="1"/>
  <c r="N12" i="1" s="1"/>
  <c r="M11" i="1"/>
  <c r="L11" i="1"/>
  <c r="K11" i="1"/>
  <c r="J11" i="1"/>
  <c r="N11" i="1" s="1"/>
  <c r="O11" i="1" s="1"/>
  <c r="N10" i="1"/>
  <c r="P10" i="1" s="1"/>
  <c r="M10" i="1"/>
  <c r="L10" i="1"/>
  <c r="K10" i="1"/>
  <c r="J10" i="1"/>
  <c r="M9" i="1"/>
  <c r="L9" i="1"/>
  <c r="K9" i="1"/>
  <c r="J9" i="1"/>
  <c r="N9" i="1" s="1"/>
  <c r="O9" i="1" s="1"/>
  <c r="M8" i="1"/>
  <c r="L8" i="1"/>
  <c r="K8" i="1"/>
  <c r="J8" i="1"/>
  <c r="N8" i="1" s="1"/>
  <c r="P8" i="1" s="1"/>
  <c r="M7" i="1"/>
  <c r="L7" i="1"/>
  <c r="K7" i="1"/>
  <c r="J7" i="1"/>
  <c r="N7" i="1" s="1"/>
  <c r="O7" i="1" s="1"/>
  <c r="M6" i="1"/>
  <c r="L6" i="1"/>
  <c r="K6" i="1"/>
  <c r="J6" i="1"/>
  <c r="N6" i="1" s="1"/>
  <c r="M5" i="1"/>
  <c r="L5" i="1"/>
  <c r="K5" i="1"/>
  <c r="J5" i="1"/>
  <c r="N5" i="1" s="1"/>
  <c r="O5" i="1" s="1"/>
  <c r="M4" i="1"/>
  <c r="L4" i="1"/>
  <c r="K4" i="1"/>
  <c r="J4" i="1"/>
  <c r="N4" i="1" s="1"/>
  <c r="M3" i="1"/>
  <c r="L3" i="1"/>
  <c r="K3" i="1"/>
  <c r="J3" i="1"/>
  <c r="M2" i="1"/>
  <c r="L2" i="1"/>
  <c r="K2" i="1"/>
  <c r="J2" i="1"/>
  <c r="N2" i="1" s="1"/>
  <c r="O2" i="1" l="1"/>
  <c r="Q2" i="1" s="1"/>
  <c r="P2" i="1"/>
  <c r="O18" i="1"/>
  <c r="P18" i="1"/>
  <c r="Q18" i="1" s="1"/>
  <c r="K22" i="1"/>
  <c r="O10" i="1"/>
  <c r="J22" i="1"/>
  <c r="L22" i="1"/>
  <c r="M21" i="1"/>
  <c r="K20" i="1"/>
  <c r="P12" i="1"/>
  <c r="O12" i="1"/>
  <c r="Q12" i="1" s="1"/>
  <c r="P14" i="1"/>
  <c r="O14" i="1"/>
  <c r="Q14" i="1" s="1"/>
  <c r="P4" i="1"/>
  <c r="O4" i="1"/>
  <c r="Q4" i="1" s="1"/>
  <c r="P6" i="1"/>
  <c r="O6" i="1"/>
  <c r="O16" i="1"/>
  <c r="Q16" i="1" s="1"/>
  <c r="N3" i="1"/>
  <c r="O3" i="1" s="1"/>
  <c r="J21" i="1"/>
  <c r="K21" i="1"/>
  <c r="K23" i="1"/>
  <c r="J23" i="1"/>
  <c r="J20" i="1"/>
  <c r="L23" i="1"/>
  <c r="M23" i="1"/>
  <c r="O8" i="1"/>
  <c r="Q8" i="1" s="1"/>
  <c r="Q10" i="1"/>
  <c r="O17" i="1"/>
  <c r="Q17" i="1" s="1"/>
  <c r="P5" i="1"/>
  <c r="Q5" i="1" s="1"/>
  <c r="P7" i="1"/>
  <c r="P9" i="1"/>
  <c r="Q9" i="1" s="1"/>
  <c r="P11" i="1"/>
  <c r="Q11" i="1" s="1"/>
  <c r="P15" i="1"/>
  <c r="Q15" i="1" s="1"/>
  <c r="P19" i="1"/>
  <c r="Q19" i="1" s="1"/>
  <c r="Q7" i="1"/>
  <c r="P13" i="1"/>
  <c r="Q13" i="1" s="1"/>
  <c r="L21" i="1"/>
  <c r="M20" i="1"/>
  <c r="M22" i="1"/>
  <c r="L20" i="1"/>
  <c r="N21" i="1"/>
  <c r="N22" i="1"/>
  <c r="Q6" i="1" l="1"/>
  <c r="Q23" i="1" s="1"/>
  <c r="N20" i="1"/>
  <c r="P3" i="1"/>
  <c r="Q3" i="1" s="1"/>
  <c r="N23" i="1"/>
  <c r="O20" i="1"/>
  <c r="O22" i="1"/>
  <c r="O21" i="1"/>
  <c r="O23" i="1"/>
  <c r="Q20" i="1" l="1"/>
  <c r="Q22" i="1"/>
  <c r="Q21" i="1"/>
  <c r="P23" i="1"/>
  <c r="P20" i="1"/>
  <c r="P22" i="1"/>
  <c r="P21" i="1"/>
</calcChain>
</file>

<file path=xl/sharedStrings.xml><?xml version="1.0" encoding="utf-8"?>
<sst xmlns="http://schemas.openxmlformats.org/spreadsheetml/2006/main" count="95" uniqueCount="67">
  <si>
    <t>Product Code</t>
  </si>
  <si>
    <t>Product Name</t>
  </si>
  <si>
    <t>Category</t>
  </si>
  <si>
    <t>Version</t>
  </si>
  <si>
    <t>Price/Unit</t>
  </si>
  <si>
    <t>Qtr 1 Sales (Qty)</t>
  </si>
  <si>
    <t>Qtr 2 Sales (Qty)</t>
  </si>
  <si>
    <t>Qtr 3 Sales (Qty)</t>
  </si>
  <si>
    <t>Qtr 4 Sales (Qty)</t>
  </si>
  <si>
    <t>Total Sales</t>
  </si>
  <si>
    <t>Max Sales</t>
  </si>
  <si>
    <t>Min Sales</t>
  </si>
  <si>
    <t>Average Quarterly Sales</t>
  </si>
  <si>
    <t>Total Sales Amount</t>
  </si>
  <si>
    <t>Tax Amount</t>
  </si>
  <si>
    <t>Discount Amount</t>
  </si>
  <si>
    <t>Net Amount</t>
  </si>
  <si>
    <t>Tax Rate</t>
  </si>
  <si>
    <t>Discount Rate</t>
  </si>
  <si>
    <t>AV017</t>
  </si>
  <si>
    <t>Sofos Antivirus</t>
  </si>
  <si>
    <t>Antivirus</t>
  </si>
  <si>
    <t>Standard</t>
  </si>
  <si>
    <t>AV015</t>
  </si>
  <si>
    <t>E-Scan Antivirus</t>
  </si>
  <si>
    <t>Enterprise</t>
  </si>
  <si>
    <t>AV013</t>
  </si>
  <si>
    <t>Quick Heal 2020 Antivirus</t>
  </si>
  <si>
    <t>AP007</t>
  </si>
  <si>
    <t>Adobe Photoshop V20</t>
  </si>
  <si>
    <t>Application</t>
  </si>
  <si>
    <t>AP025</t>
  </si>
  <si>
    <t>Tableau Advanced</t>
  </si>
  <si>
    <t>AP019</t>
  </si>
  <si>
    <t>Pro E CAD</t>
  </si>
  <si>
    <t>AP018</t>
  </si>
  <si>
    <t>Autocad Flight</t>
  </si>
  <si>
    <t>DA020</t>
  </si>
  <si>
    <t>IBM DB2</t>
  </si>
  <si>
    <t>Database</t>
  </si>
  <si>
    <t>DA024</t>
  </si>
  <si>
    <t>SQL Server Enterprise Edition</t>
  </si>
  <si>
    <t>DA092</t>
  </si>
  <si>
    <t>Ingress</t>
  </si>
  <si>
    <t>DA012</t>
  </si>
  <si>
    <t>Oracle 20</t>
  </si>
  <si>
    <t>ID020</t>
  </si>
  <si>
    <t>Visual Studio Enterprise V 2020</t>
  </si>
  <si>
    <t>IDE</t>
  </si>
  <si>
    <t>OS001</t>
  </si>
  <si>
    <t>Microsoft Windows Professional</t>
  </si>
  <si>
    <t>OS</t>
  </si>
  <si>
    <t>OS003</t>
  </si>
  <si>
    <t>Microsoft Windows Server 2018</t>
  </si>
  <si>
    <t>OS022</t>
  </si>
  <si>
    <t>Solaris OS</t>
  </si>
  <si>
    <t>OS021</t>
  </si>
  <si>
    <t>Mac OS</t>
  </si>
  <si>
    <t>SE087</t>
  </si>
  <si>
    <t>IIS 9.0</t>
  </si>
  <si>
    <t>Server</t>
  </si>
  <si>
    <t>SE005</t>
  </si>
  <si>
    <t>Microsoft Sharepoint Server 2020</t>
  </si>
  <si>
    <t>** Total **</t>
  </si>
  <si>
    <t>** Minimum **</t>
  </si>
  <si>
    <t>** Maximum **</t>
  </si>
  <si>
    <t>** Average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</si>
</sst>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topLeftCell="F1" zoomScale="89" workbookViewId="0">
      <selection activeCell="Q13" sqref="Q13"/>
    </sheetView>
  </sheetViews>
  <sheetFormatPr defaultRowHeight="14.4" x14ac:dyDescent="0.3"/>
  <cols>
    <col min="1" max="1" width="13.21875" customWidth="1"/>
    <col min="2" max="2" width="15.109375" customWidth="1"/>
    <col min="3" max="3" width="9.6640625" customWidth="1"/>
    <col min="5" max="5" width="13.109375" customWidth="1"/>
    <col min="6" max="6" width="14.88671875" customWidth="1"/>
    <col min="7" max="7" width="17.33203125" customWidth="1"/>
    <col min="8" max="9" width="15.44140625" customWidth="1"/>
    <col min="10" max="10" width="11.6640625" customWidth="1"/>
    <col min="11" max="11" width="13" customWidth="1"/>
    <col min="12" max="12" width="11.77734375" customWidth="1"/>
    <col min="13" max="13" width="22.6640625" customWidth="1"/>
    <col min="14" max="14" width="19.44140625" customWidth="1"/>
    <col min="15" max="15" width="13.6640625" customWidth="1"/>
    <col min="16" max="16" width="17.21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 t="s">
        <v>17</v>
      </c>
      <c r="T1" s="1" t="s">
        <v>18</v>
      </c>
      <c r="U1" s="2"/>
    </row>
    <row r="2" spans="1:21" x14ac:dyDescent="0.3">
      <c r="A2" s="2" t="s">
        <v>19</v>
      </c>
      <c r="B2" s="2" t="s">
        <v>20</v>
      </c>
      <c r="C2" s="2" t="s">
        <v>21</v>
      </c>
      <c r="D2" s="2" t="s">
        <v>22</v>
      </c>
      <c r="E2" s="2">
        <v>1100</v>
      </c>
      <c r="F2" s="2">
        <v>6</v>
      </c>
      <c r="G2" s="2">
        <v>8</v>
      </c>
      <c r="H2" s="2">
        <v>6</v>
      </c>
      <c r="I2" s="2">
        <v>8</v>
      </c>
      <c r="J2" s="2">
        <f t="shared" ref="J2:J19" si="0">SUM(F2:I2)</f>
        <v>28</v>
      </c>
      <c r="K2" s="2">
        <f t="shared" ref="K2:K19" si="1">MAX(F2:I2)</f>
        <v>8</v>
      </c>
      <c r="L2" s="2">
        <f t="shared" ref="L2:L19" si="2">MIN(F2:I2)</f>
        <v>6</v>
      </c>
      <c r="M2" s="2">
        <f t="shared" ref="M2:M19" si="3">AVERAGE(F2:I2)</f>
        <v>7</v>
      </c>
      <c r="N2" s="2">
        <f t="shared" ref="N2:N19" si="4">J2*E2</f>
        <v>30800</v>
      </c>
      <c r="O2" s="2">
        <f>N2*$S$2/100</f>
        <v>3696</v>
      </c>
      <c r="P2" s="2">
        <f>N2*$T$2/100</f>
        <v>1540</v>
      </c>
      <c r="Q2" s="2">
        <f t="shared" ref="Q2:Q19" si="5">N2+O2-P2</f>
        <v>32956</v>
      </c>
      <c r="R2" s="2"/>
      <c r="S2" s="2">
        <v>12</v>
      </c>
      <c r="T2" s="2">
        <v>5</v>
      </c>
      <c r="U2" s="2"/>
    </row>
    <row r="3" spans="1:21" x14ac:dyDescent="0.3">
      <c r="A3" s="2" t="s">
        <v>23</v>
      </c>
      <c r="B3" s="2" t="s">
        <v>24</v>
      </c>
      <c r="C3" s="2" t="s">
        <v>21</v>
      </c>
      <c r="D3" s="2" t="s">
        <v>25</v>
      </c>
      <c r="E3" s="2">
        <v>1200</v>
      </c>
      <c r="F3" s="2">
        <v>7</v>
      </c>
      <c r="G3" s="2">
        <v>7</v>
      </c>
      <c r="H3" s="2">
        <v>7</v>
      </c>
      <c r="I3" s="2">
        <v>6</v>
      </c>
      <c r="J3" s="2">
        <f t="shared" si="0"/>
        <v>27</v>
      </c>
      <c r="K3" s="2">
        <f t="shared" si="1"/>
        <v>7</v>
      </c>
      <c r="L3" s="2">
        <f t="shared" si="2"/>
        <v>6</v>
      </c>
      <c r="M3" s="2">
        <f t="shared" si="3"/>
        <v>6.75</v>
      </c>
      <c r="N3" s="2">
        <f t="shared" si="4"/>
        <v>32400</v>
      </c>
      <c r="O3" s="2">
        <f>N3*$S$2/100</f>
        <v>3888</v>
      </c>
      <c r="P3" s="2">
        <f>N3*$T$2/100</f>
        <v>1620</v>
      </c>
      <c r="Q3" s="2">
        <f t="shared" si="5"/>
        <v>34668</v>
      </c>
      <c r="R3" s="2"/>
      <c r="S3" s="2"/>
      <c r="T3" s="2"/>
      <c r="U3" s="2"/>
    </row>
    <row r="4" spans="1:21" x14ac:dyDescent="0.3">
      <c r="A4" s="2" t="s">
        <v>26</v>
      </c>
      <c r="B4" s="2" t="s">
        <v>27</v>
      </c>
      <c r="C4" s="2" t="s">
        <v>21</v>
      </c>
      <c r="D4" s="2" t="s">
        <v>22</v>
      </c>
      <c r="E4" s="2">
        <v>1500</v>
      </c>
      <c r="F4" s="2">
        <v>9</v>
      </c>
      <c r="G4" s="2">
        <v>6</v>
      </c>
      <c r="H4" s="2">
        <v>9</v>
      </c>
      <c r="I4" s="2">
        <v>2</v>
      </c>
      <c r="J4" s="2">
        <f t="shared" si="0"/>
        <v>26</v>
      </c>
      <c r="K4" s="2">
        <f t="shared" si="1"/>
        <v>9</v>
      </c>
      <c r="L4" s="2">
        <f t="shared" si="2"/>
        <v>2</v>
      </c>
      <c r="M4" s="2">
        <f t="shared" si="3"/>
        <v>6.5</v>
      </c>
      <c r="N4" s="2">
        <f t="shared" si="4"/>
        <v>39000</v>
      </c>
      <c r="O4" s="2">
        <f>N4*$S$2/100</f>
        <v>4680</v>
      </c>
      <c r="P4" s="2">
        <f>N4*$T$2/100</f>
        <v>1950</v>
      </c>
      <c r="Q4" s="2">
        <f t="shared" si="5"/>
        <v>41730</v>
      </c>
      <c r="R4" s="2"/>
      <c r="S4" s="2"/>
      <c r="T4" s="2"/>
      <c r="U4" s="2"/>
    </row>
    <row r="5" spans="1:21" x14ac:dyDescent="0.3">
      <c r="A5" s="2" t="s">
        <v>28</v>
      </c>
      <c r="B5" s="2" t="s">
        <v>29</v>
      </c>
      <c r="C5" s="2" t="s">
        <v>30</v>
      </c>
      <c r="D5" s="2" t="s">
        <v>25</v>
      </c>
      <c r="E5" s="2">
        <v>8000</v>
      </c>
      <c r="F5" s="2">
        <v>7</v>
      </c>
      <c r="G5" s="2">
        <v>4</v>
      </c>
      <c r="H5" s="2">
        <v>9</v>
      </c>
      <c r="I5" s="2">
        <v>5</v>
      </c>
      <c r="J5" s="2">
        <f t="shared" si="0"/>
        <v>25</v>
      </c>
      <c r="K5" s="2">
        <f t="shared" si="1"/>
        <v>9</v>
      </c>
      <c r="L5" s="2">
        <f t="shared" si="2"/>
        <v>4</v>
      </c>
      <c r="M5" s="2">
        <f t="shared" si="3"/>
        <v>6.25</v>
      </c>
      <c r="N5" s="2">
        <f t="shared" si="4"/>
        <v>200000</v>
      </c>
      <c r="O5" s="2">
        <f>N5*$S$2/100</f>
        <v>24000</v>
      </c>
      <c r="P5" s="2">
        <f>N5*$T$2/100</f>
        <v>10000</v>
      </c>
      <c r="Q5" s="2">
        <f t="shared" si="5"/>
        <v>214000</v>
      </c>
      <c r="R5" s="2"/>
      <c r="S5" s="2"/>
      <c r="T5" s="2"/>
      <c r="U5" s="2"/>
    </row>
    <row r="6" spans="1:21" x14ac:dyDescent="0.3">
      <c r="A6" s="2" t="s">
        <v>31</v>
      </c>
      <c r="B6" s="2" t="s">
        <v>32</v>
      </c>
      <c r="C6" s="2" t="s">
        <v>30</v>
      </c>
      <c r="D6" s="2" t="s">
        <v>25</v>
      </c>
      <c r="E6" s="2">
        <v>45000</v>
      </c>
      <c r="F6" s="2">
        <v>3</v>
      </c>
      <c r="G6" s="2">
        <v>0</v>
      </c>
      <c r="H6" s="2">
        <v>9</v>
      </c>
      <c r="I6" s="2">
        <v>7</v>
      </c>
      <c r="J6" s="2">
        <f t="shared" si="0"/>
        <v>19</v>
      </c>
      <c r="K6" s="2">
        <f t="shared" si="1"/>
        <v>9</v>
      </c>
      <c r="L6" s="2">
        <f t="shared" si="2"/>
        <v>0</v>
      </c>
      <c r="M6" s="2">
        <f t="shared" si="3"/>
        <v>4.75</v>
      </c>
      <c r="N6" s="2">
        <f t="shared" si="4"/>
        <v>855000</v>
      </c>
      <c r="O6" s="2">
        <f>N6*$S$2/100</f>
        <v>102600</v>
      </c>
      <c r="P6" s="2">
        <f>N6*$T$2/100</f>
        <v>42750</v>
      </c>
      <c r="Q6" s="2">
        <f t="shared" si="5"/>
        <v>914850</v>
      </c>
      <c r="R6" s="2"/>
      <c r="S6" s="2"/>
      <c r="T6" s="2"/>
      <c r="U6" s="2"/>
    </row>
    <row r="7" spans="1:21" x14ac:dyDescent="0.3">
      <c r="A7" s="2" t="s">
        <v>33</v>
      </c>
      <c r="B7" s="2" t="s">
        <v>34</v>
      </c>
      <c r="C7" s="2" t="s">
        <v>30</v>
      </c>
      <c r="D7" s="2" t="s">
        <v>22</v>
      </c>
      <c r="E7" s="2">
        <v>81000</v>
      </c>
      <c r="F7" s="2">
        <v>3</v>
      </c>
      <c r="G7" s="2">
        <v>3</v>
      </c>
      <c r="H7" s="2">
        <v>11</v>
      </c>
      <c r="I7" s="2">
        <v>11</v>
      </c>
      <c r="J7" s="2">
        <f t="shared" si="0"/>
        <v>28</v>
      </c>
      <c r="K7" s="2">
        <f t="shared" si="1"/>
        <v>11</v>
      </c>
      <c r="L7" s="2">
        <f t="shared" si="2"/>
        <v>3</v>
      </c>
      <c r="M7" s="2">
        <f t="shared" si="3"/>
        <v>7</v>
      </c>
      <c r="N7" s="2">
        <f t="shared" si="4"/>
        <v>2268000</v>
      </c>
      <c r="O7" s="2">
        <f>N7*$S$2/100</f>
        <v>272160</v>
      </c>
      <c r="P7" s="2">
        <f>N7*$T$2/100</f>
        <v>113400</v>
      </c>
      <c r="Q7" s="2">
        <f t="shared" si="5"/>
        <v>2426760</v>
      </c>
      <c r="R7" s="2"/>
      <c r="S7" s="2"/>
      <c r="T7" s="2"/>
      <c r="U7" s="2"/>
    </row>
    <row r="8" spans="1:21" x14ac:dyDescent="0.3">
      <c r="A8" s="2" t="s">
        <v>35</v>
      </c>
      <c r="B8" s="2" t="s">
        <v>36</v>
      </c>
      <c r="C8" s="2" t="s">
        <v>30</v>
      </c>
      <c r="D8" s="2" t="s">
        <v>22</v>
      </c>
      <c r="E8" s="2">
        <v>98000</v>
      </c>
      <c r="F8" s="2">
        <v>4</v>
      </c>
      <c r="G8" s="2">
        <v>9</v>
      </c>
      <c r="H8" s="2">
        <v>5</v>
      </c>
      <c r="I8" s="2">
        <v>9</v>
      </c>
      <c r="J8" s="2">
        <f t="shared" si="0"/>
        <v>27</v>
      </c>
      <c r="K8" s="2">
        <f t="shared" si="1"/>
        <v>9</v>
      </c>
      <c r="L8" s="2">
        <f t="shared" si="2"/>
        <v>4</v>
      </c>
      <c r="M8" s="2">
        <f t="shared" si="3"/>
        <v>6.75</v>
      </c>
      <c r="N8" s="2">
        <f t="shared" si="4"/>
        <v>2646000</v>
      </c>
      <c r="O8" s="2">
        <f>N8*$S$2/100</f>
        <v>317520</v>
      </c>
      <c r="P8" s="2">
        <f>N8*$T$2/100</f>
        <v>132300</v>
      </c>
      <c r="Q8" s="2">
        <f t="shared" si="5"/>
        <v>2831220</v>
      </c>
      <c r="R8" s="2"/>
      <c r="S8" s="2"/>
      <c r="T8" s="2"/>
      <c r="U8" s="2"/>
    </row>
    <row r="9" spans="1:21" x14ac:dyDescent="0.3">
      <c r="A9" s="2" t="s">
        <v>37</v>
      </c>
      <c r="B9" s="2" t="s">
        <v>38</v>
      </c>
      <c r="C9" s="2" t="s">
        <v>39</v>
      </c>
      <c r="D9" s="2" t="s">
        <v>25</v>
      </c>
      <c r="E9" s="2">
        <v>5900</v>
      </c>
      <c r="F9" s="2">
        <v>6</v>
      </c>
      <c r="G9" s="2">
        <v>4</v>
      </c>
      <c r="H9" s="2">
        <v>22</v>
      </c>
      <c r="I9" s="2">
        <v>24</v>
      </c>
      <c r="J9" s="2">
        <f t="shared" si="0"/>
        <v>56</v>
      </c>
      <c r="K9" s="2">
        <f t="shared" si="1"/>
        <v>24</v>
      </c>
      <c r="L9" s="2">
        <f t="shared" si="2"/>
        <v>4</v>
      </c>
      <c r="M9" s="2">
        <f t="shared" si="3"/>
        <v>14</v>
      </c>
      <c r="N9" s="2">
        <f t="shared" si="4"/>
        <v>330400</v>
      </c>
      <c r="O9" s="2">
        <f>N9*$S$2/100</f>
        <v>39648</v>
      </c>
      <c r="P9" s="2">
        <f>N9*$T$2/100</f>
        <v>16520</v>
      </c>
      <c r="Q9" s="2">
        <f t="shared" si="5"/>
        <v>353528</v>
      </c>
      <c r="R9" s="2"/>
      <c r="S9" s="2"/>
      <c r="T9" s="2"/>
      <c r="U9" s="2"/>
    </row>
    <row r="10" spans="1:21" x14ac:dyDescent="0.3">
      <c r="A10" s="2" t="s">
        <v>40</v>
      </c>
      <c r="B10" s="2" t="s">
        <v>41</v>
      </c>
      <c r="C10" s="2" t="s">
        <v>39</v>
      </c>
      <c r="D10" s="2" t="s">
        <v>22</v>
      </c>
      <c r="E10" s="2">
        <v>6290</v>
      </c>
      <c r="F10" s="2">
        <v>2</v>
      </c>
      <c r="G10" s="2">
        <v>5</v>
      </c>
      <c r="H10" s="2">
        <v>5</v>
      </c>
      <c r="I10" s="2">
        <v>8</v>
      </c>
      <c r="J10" s="2">
        <f t="shared" si="0"/>
        <v>20</v>
      </c>
      <c r="K10" s="2">
        <f t="shared" si="1"/>
        <v>8</v>
      </c>
      <c r="L10" s="2">
        <f t="shared" si="2"/>
        <v>2</v>
      </c>
      <c r="M10" s="2">
        <f t="shared" si="3"/>
        <v>5</v>
      </c>
      <c r="N10" s="2">
        <f t="shared" si="4"/>
        <v>125800</v>
      </c>
      <c r="O10" s="2">
        <f>N10*$S$2/100</f>
        <v>15096</v>
      </c>
      <c r="P10" s="2">
        <f>N10*$T$2/100</f>
        <v>6290</v>
      </c>
      <c r="Q10" s="2">
        <f t="shared" si="5"/>
        <v>134606</v>
      </c>
      <c r="R10" s="2"/>
      <c r="S10" s="2"/>
      <c r="T10" s="2"/>
      <c r="U10" s="2"/>
    </row>
    <row r="11" spans="1:21" x14ac:dyDescent="0.3">
      <c r="A11" s="2" t="s">
        <v>42</v>
      </c>
      <c r="B11" s="2" t="s">
        <v>43</v>
      </c>
      <c r="C11" s="2" t="s">
        <v>39</v>
      </c>
      <c r="D11" s="2" t="s">
        <v>22</v>
      </c>
      <c r="E11" s="2">
        <v>7000</v>
      </c>
      <c r="F11" s="2">
        <v>3</v>
      </c>
      <c r="G11" s="2">
        <v>4</v>
      </c>
      <c r="H11" s="2">
        <v>8</v>
      </c>
      <c r="I11" s="2">
        <v>4</v>
      </c>
      <c r="J11" s="2">
        <f t="shared" si="0"/>
        <v>19</v>
      </c>
      <c r="K11" s="2">
        <f t="shared" si="1"/>
        <v>8</v>
      </c>
      <c r="L11" s="2">
        <f t="shared" si="2"/>
        <v>3</v>
      </c>
      <c r="M11" s="2">
        <f t="shared" si="3"/>
        <v>4.75</v>
      </c>
      <c r="N11" s="2">
        <f t="shared" si="4"/>
        <v>133000</v>
      </c>
      <c r="O11" s="2">
        <f>N11*$S$2/100</f>
        <v>15960</v>
      </c>
      <c r="P11" s="2">
        <f>N11*$T$2/100</f>
        <v>6650</v>
      </c>
      <c r="Q11" s="2">
        <f t="shared" si="5"/>
        <v>142310</v>
      </c>
      <c r="R11" s="2"/>
      <c r="S11" s="2"/>
      <c r="T11" s="2"/>
      <c r="U11" s="2"/>
    </row>
    <row r="12" spans="1:21" x14ac:dyDescent="0.3">
      <c r="A12" s="2" t="s">
        <v>44</v>
      </c>
      <c r="B12" s="2" t="s">
        <v>45</v>
      </c>
      <c r="C12" s="2" t="s">
        <v>39</v>
      </c>
      <c r="D12" s="2" t="s">
        <v>25</v>
      </c>
      <c r="E12" s="2">
        <v>88000</v>
      </c>
      <c r="F12" s="2">
        <v>8</v>
      </c>
      <c r="G12" s="2">
        <v>5</v>
      </c>
      <c r="H12" s="2">
        <v>8</v>
      </c>
      <c r="I12" s="2">
        <v>33</v>
      </c>
      <c r="J12" s="2">
        <f t="shared" si="0"/>
        <v>54</v>
      </c>
      <c r="K12" s="2">
        <f t="shared" si="1"/>
        <v>33</v>
      </c>
      <c r="L12" s="2">
        <f t="shared" si="2"/>
        <v>5</v>
      </c>
      <c r="M12" s="2">
        <f t="shared" si="3"/>
        <v>13.5</v>
      </c>
      <c r="N12" s="2">
        <f t="shared" si="4"/>
        <v>4752000</v>
      </c>
      <c r="O12" s="2">
        <f>N12*$S$2/100</f>
        <v>570240</v>
      </c>
      <c r="P12" s="2">
        <f>N12*$T$2/100</f>
        <v>237600</v>
      </c>
      <c r="Q12" s="2">
        <f t="shared" si="5"/>
        <v>5084640</v>
      </c>
      <c r="R12" s="2"/>
      <c r="S12" s="2"/>
      <c r="T12" s="2"/>
      <c r="U12" s="2"/>
    </row>
    <row r="13" spans="1:21" x14ac:dyDescent="0.3">
      <c r="A13" s="2" t="s">
        <v>46</v>
      </c>
      <c r="B13" s="2" t="s">
        <v>47</v>
      </c>
      <c r="C13" s="2" t="s">
        <v>48</v>
      </c>
      <c r="D13" s="2" t="s">
        <v>25</v>
      </c>
      <c r="E13" s="2">
        <v>12000</v>
      </c>
      <c r="F13" s="2">
        <v>6</v>
      </c>
      <c r="G13" s="2">
        <v>5</v>
      </c>
      <c r="H13" s="2">
        <v>5</v>
      </c>
      <c r="I13" s="2">
        <v>2</v>
      </c>
      <c r="J13" s="2">
        <f t="shared" si="0"/>
        <v>18</v>
      </c>
      <c r="K13" s="2">
        <f t="shared" si="1"/>
        <v>6</v>
      </c>
      <c r="L13" s="2">
        <f t="shared" si="2"/>
        <v>2</v>
      </c>
      <c r="M13" s="2">
        <f t="shared" si="3"/>
        <v>4.5</v>
      </c>
      <c r="N13" s="2">
        <f t="shared" si="4"/>
        <v>216000</v>
      </c>
      <c r="O13" s="2">
        <f>N13*$S$2/100</f>
        <v>25920</v>
      </c>
      <c r="P13" s="2">
        <f>N13*$T$2/100</f>
        <v>10800</v>
      </c>
      <c r="Q13" s="2">
        <f t="shared" si="5"/>
        <v>231120</v>
      </c>
      <c r="R13" s="2"/>
      <c r="S13" s="2"/>
      <c r="T13" s="2"/>
      <c r="U13" s="2"/>
    </row>
    <row r="14" spans="1:21" x14ac:dyDescent="0.3">
      <c r="A14" s="2" t="s">
        <v>49</v>
      </c>
      <c r="B14" s="2" t="s">
        <v>50</v>
      </c>
      <c r="C14" s="2" t="s">
        <v>51</v>
      </c>
      <c r="D14" s="2" t="s">
        <v>22</v>
      </c>
      <c r="E14" s="2">
        <v>5600</v>
      </c>
      <c r="F14" s="2">
        <v>5</v>
      </c>
      <c r="G14" s="2">
        <v>0</v>
      </c>
      <c r="H14" s="2">
        <v>6</v>
      </c>
      <c r="I14" s="2">
        <v>9</v>
      </c>
      <c r="J14" s="2">
        <f t="shared" si="0"/>
        <v>20</v>
      </c>
      <c r="K14" s="2">
        <f t="shared" si="1"/>
        <v>9</v>
      </c>
      <c r="L14" s="2">
        <f t="shared" si="2"/>
        <v>0</v>
      </c>
      <c r="M14" s="2">
        <f t="shared" si="3"/>
        <v>5</v>
      </c>
      <c r="N14" s="2">
        <f t="shared" si="4"/>
        <v>112000</v>
      </c>
      <c r="O14" s="2">
        <f>N14*$S$2/100</f>
        <v>13440</v>
      </c>
      <c r="P14" s="2">
        <f>N14*$T$2/100</f>
        <v>5600</v>
      </c>
      <c r="Q14" s="2">
        <f t="shared" si="5"/>
        <v>119840</v>
      </c>
      <c r="R14" s="2"/>
      <c r="S14" s="2"/>
      <c r="T14" s="2"/>
      <c r="U14" s="2"/>
    </row>
    <row r="15" spans="1:21" x14ac:dyDescent="0.3">
      <c r="A15" s="2" t="s">
        <v>52</v>
      </c>
      <c r="B15" s="2" t="s">
        <v>53</v>
      </c>
      <c r="C15" s="2" t="s">
        <v>51</v>
      </c>
      <c r="D15" s="2" t="s">
        <v>25</v>
      </c>
      <c r="E15" s="2">
        <v>9000</v>
      </c>
      <c r="F15" s="2">
        <v>3</v>
      </c>
      <c r="G15" s="2">
        <v>2</v>
      </c>
      <c r="H15" s="2">
        <v>7</v>
      </c>
      <c r="I15" s="2">
        <v>3</v>
      </c>
      <c r="J15" s="2">
        <f t="shared" si="0"/>
        <v>15</v>
      </c>
      <c r="K15" s="2">
        <f t="shared" si="1"/>
        <v>7</v>
      </c>
      <c r="L15" s="2">
        <f t="shared" si="2"/>
        <v>2</v>
      </c>
      <c r="M15" s="2">
        <f t="shared" si="3"/>
        <v>3.75</v>
      </c>
      <c r="N15" s="2">
        <f t="shared" si="4"/>
        <v>135000</v>
      </c>
      <c r="O15" s="2">
        <f>N15*$S$2/100</f>
        <v>16200</v>
      </c>
      <c r="P15" s="2">
        <f>N15*$T$2/100</f>
        <v>6750</v>
      </c>
      <c r="Q15" s="2">
        <f t="shared" si="5"/>
        <v>144450</v>
      </c>
      <c r="R15" s="2"/>
      <c r="S15" s="2"/>
      <c r="T15" s="2"/>
      <c r="U15" s="2"/>
    </row>
    <row r="16" spans="1:21" x14ac:dyDescent="0.3">
      <c r="A16" s="2" t="s">
        <v>54</v>
      </c>
      <c r="B16" s="2" t="s">
        <v>55</v>
      </c>
      <c r="C16" s="2" t="s">
        <v>51</v>
      </c>
      <c r="D16" s="2" t="s">
        <v>25</v>
      </c>
      <c r="E16" s="2">
        <v>13000</v>
      </c>
      <c r="F16" s="2">
        <v>8</v>
      </c>
      <c r="G16" s="2">
        <v>2</v>
      </c>
      <c r="H16" s="2">
        <v>6</v>
      </c>
      <c r="I16" s="2">
        <v>5</v>
      </c>
      <c r="J16" s="2">
        <f t="shared" si="0"/>
        <v>21</v>
      </c>
      <c r="K16" s="2">
        <f t="shared" si="1"/>
        <v>8</v>
      </c>
      <c r="L16" s="2">
        <f t="shared" si="2"/>
        <v>2</v>
      </c>
      <c r="M16" s="2">
        <f t="shared" si="3"/>
        <v>5.25</v>
      </c>
      <c r="N16" s="2">
        <f t="shared" si="4"/>
        <v>273000</v>
      </c>
      <c r="O16" s="2">
        <f>N16*$S$2/100</f>
        <v>32760</v>
      </c>
      <c r="P16" s="2">
        <f>N16*$T$2/100</f>
        <v>13650</v>
      </c>
      <c r="Q16" s="2">
        <f t="shared" si="5"/>
        <v>292110</v>
      </c>
      <c r="R16" s="2"/>
      <c r="S16" s="2"/>
      <c r="T16" s="2"/>
      <c r="U16" s="2"/>
    </row>
    <row r="17" spans="1:21" x14ac:dyDescent="0.3">
      <c r="A17" s="2" t="s">
        <v>56</v>
      </c>
      <c r="B17" s="2" t="s">
        <v>57</v>
      </c>
      <c r="C17" s="2" t="s">
        <v>51</v>
      </c>
      <c r="D17" s="2" t="s">
        <v>22</v>
      </c>
      <c r="E17" s="2">
        <v>18000</v>
      </c>
      <c r="F17" s="2">
        <v>7</v>
      </c>
      <c r="G17" s="2">
        <v>5</v>
      </c>
      <c r="H17" s="2">
        <v>3</v>
      </c>
      <c r="I17" s="2">
        <v>31</v>
      </c>
      <c r="J17" s="2">
        <f t="shared" si="0"/>
        <v>46</v>
      </c>
      <c r="K17" s="2">
        <f t="shared" si="1"/>
        <v>31</v>
      </c>
      <c r="L17" s="2">
        <f t="shared" si="2"/>
        <v>3</v>
      </c>
      <c r="M17" s="2">
        <f t="shared" si="3"/>
        <v>11.5</v>
      </c>
      <c r="N17" s="2">
        <f t="shared" si="4"/>
        <v>828000</v>
      </c>
      <c r="O17" s="2">
        <f>N17*$S$2/100</f>
        <v>99360</v>
      </c>
      <c r="P17" s="2">
        <f>N17*$T$2/100</f>
        <v>41400</v>
      </c>
      <c r="Q17" s="2">
        <f t="shared" si="5"/>
        <v>885960</v>
      </c>
      <c r="R17" s="2"/>
      <c r="S17" s="2"/>
      <c r="T17" s="2"/>
      <c r="U17" s="2"/>
    </row>
    <row r="18" spans="1:21" x14ac:dyDescent="0.3">
      <c r="A18" s="2" t="s">
        <v>58</v>
      </c>
      <c r="B18" s="2" t="s">
        <v>59</v>
      </c>
      <c r="C18" s="2" t="s">
        <v>60</v>
      </c>
      <c r="D18" s="2" t="s">
        <v>22</v>
      </c>
      <c r="E18" s="2">
        <v>3000</v>
      </c>
      <c r="F18" s="2">
        <v>0</v>
      </c>
      <c r="G18" s="2">
        <v>2</v>
      </c>
      <c r="H18" s="2">
        <v>7</v>
      </c>
      <c r="I18" s="2">
        <v>5</v>
      </c>
      <c r="J18" s="2">
        <f t="shared" si="0"/>
        <v>14</v>
      </c>
      <c r="K18" s="2">
        <f t="shared" si="1"/>
        <v>7</v>
      </c>
      <c r="L18" s="2">
        <f t="shared" si="2"/>
        <v>0</v>
      </c>
      <c r="M18" s="2">
        <f t="shared" si="3"/>
        <v>3.5</v>
      </c>
      <c r="N18" s="2">
        <f t="shared" si="4"/>
        <v>42000</v>
      </c>
      <c r="O18" s="2">
        <f>N18*$S$2/100</f>
        <v>5040</v>
      </c>
      <c r="P18" s="2">
        <f>N18*$T$2/100</f>
        <v>2100</v>
      </c>
      <c r="Q18" s="2">
        <f t="shared" si="5"/>
        <v>44940</v>
      </c>
      <c r="R18" s="2"/>
      <c r="S18" s="2"/>
      <c r="T18" s="2"/>
      <c r="U18" s="2"/>
    </row>
    <row r="19" spans="1:21" x14ac:dyDescent="0.3">
      <c r="A19" s="2" t="s">
        <v>61</v>
      </c>
      <c r="B19" s="2" t="s">
        <v>62</v>
      </c>
      <c r="C19" s="2" t="s">
        <v>60</v>
      </c>
      <c r="D19" s="2" t="s">
        <v>25</v>
      </c>
      <c r="E19" s="2">
        <v>17000</v>
      </c>
      <c r="F19" s="2">
        <v>6</v>
      </c>
      <c r="G19" s="2">
        <v>1</v>
      </c>
      <c r="H19" s="2">
        <v>8</v>
      </c>
      <c r="I19" s="2">
        <v>6</v>
      </c>
      <c r="J19" s="2">
        <f t="shared" si="0"/>
        <v>21</v>
      </c>
      <c r="K19" s="2">
        <f t="shared" si="1"/>
        <v>8</v>
      </c>
      <c r="L19" s="2">
        <f t="shared" si="2"/>
        <v>1</v>
      </c>
      <c r="M19" s="2">
        <f t="shared" si="3"/>
        <v>5.25</v>
      </c>
      <c r="N19" s="2">
        <f t="shared" si="4"/>
        <v>357000</v>
      </c>
      <c r="O19" s="2">
        <f>N19*$S$2/100</f>
        <v>42840</v>
      </c>
      <c r="P19" s="2">
        <f>N19*$T$2/100</f>
        <v>17850</v>
      </c>
      <c r="Q19" s="2">
        <f t="shared" si="5"/>
        <v>381990</v>
      </c>
      <c r="R19" s="2"/>
      <c r="S19" s="2"/>
      <c r="T19" s="2"/>
      <c r="U19" s="2"/>
    </row>
    <row r="20" spans="1:21" x14ac:dyDescent="0.3">
      <c r="A20" s="2" t="s">
        <v>63</v>
      </c>
      <c r="B20" s="2"/>
      <c r="C20" s="2"/>
      <c r="D20" s="2"/>
      <c r="E20" s="2">
        <f t="shared" ref="E20:T20" si="6">SUM(E2:E19)</f>
        <v>420590</v>
      </c>
      <c r="F20" s="2">
        <f t="shared" si="6"/>
        <v>93</v>
      </c>
      <c r="G20" s="2">
        <f t="shared" si="6"/>
        <v>72</v>
      </c>
      <c r="H20" s="2">
        <f t="shared" si="6"/>
        <v>141</v>
      </c>
      <c r="I20" s="2">
        <f t="shared" si="6"/>
        <v>178</v>
      </c>
      <c r="J20" s="2">
        <f t="shared" si="6"/>
        <v>484</v>
      </c>
      <c r="K20" s="2">
        <f t="shared" si="6"/>
        <v>211</v>
      </c>
      <c r="L20" s="2">
        <f t="shared" si="6"/>
        <v>49</v>
      </c>
      <c r="M20" s="2">
        <f t="shared" si="6"/>
        <v>121</v>
      </c>
      <c r="N20" s="2">
        <f t="shared" si="6"/>
        <v>13375400</v>
      </c>
      <c r="O20" s="2">
        <f t="shared" si="6"/>
        <v>1605048</v>
      </c>
      <c r="P20" s="2">
        <f t="shared" si="6"/>
        <v>668770</v>
      </c>
      <c r="Q20" s="2">
        <f t="shared" si="6"/>
        <v>14311678</v>
      </c>
      <c r="R20" s="2">
        <f t="shared" si="6"/>
        <v>0</v>
      </c>
      <c r="S20" s="2">
        <f t="shared" si="6"/>
        <v>12</v>
      </c>
      <c r="T20" s="2">
        <f t="shared" si="6"/>
        <v>5</v>
      </c>
      <c r="U20" s="2"/>
    </row>
    <row r="21" spans="1:21" x14ac:dyDescent="0.3">
      <c r="A21" s="2" t="s">
        <v>64</v>
      </c>
      <c r="B21" s="2"/>
      <c r="C21" s="2"/>
      <c r="D21" s="2"/>
      <c r="E21" s="2">
        <f t="shared" ref="E21:T21" si="7">MIN(E2:E19)</f>
        <v>1100</v>
      </c>
      <c r="F21" s="2">
        <f t="shared" si="7"/>
        <v>0</v>
      </c>
      <c r="G21" s="2">
        <f t="shared" si="7"/>
        <v>0</v>
      </c>
      <c r="H21" s="2">
        <f t="shared" si="7"/>
        <v>3</v>
      </c>
      <c r="I21" s="2">
        <f t="shared" si="7"/>
        <v>2</v>
      </c>
      <c r="J21" s="2">
        <f t="shared" si="7"/>
        <v>14</v>
      </c>
      <c r="K21" s="2">
        <f t="shared" si="7"/>
        <v>6</v>
      </c>
      <c r="L21" s="2">
        <f t="shared" si="7"/>
        <v>0</v>
      </c>
      <c r="M21" s="2">
        <f t="shared" si="7"/>
        <v>3.5</v>
      </c>
      <c r="N21" s="2">
        <f t="shared" si="7"/>
        <v>30800</v>
      </c>
      <c r="O21" s="2">
        <f t="shared" si="7"/>
        <v>3696</v>
      </c>
      <c r="P21" s="2">
        <f t="shared" si="7"/>
        <v>1540</v>
      </c>
      <c r="Q21" s="2">
        <f t="shared" si="7"/>
        <v>32956</v>
      </c>
      <c r="R21" s="2">
        <f t="shared" si="7"/>
        <v>0</v>
      </c>
      <c r="S21" s="2">
        <f t="shared" si="7"/>
        <v>12</v>
      </c>
      <c r="T21" s="2">
        <f t="shared" si="7"/>
        <v>5</v>
      </c>
      <c r="U21" s="2"/>
    </row>
    <row r="22" spans="1:21" x14ac:dyDescent="0.3">
      <c r="A22" s="2" t="s">
        <v>65</v>
      </c>
      <c r="B22" s="2"/>
      <c r="C22" s="2"/>
      <c r="D22" s="2"/>
      <c r="E22" s="2">
        <f t="shared" ref="E22:T22" si="8">MAX(E2:E19)</f>
        <v>98000</v>
      </c>
      <c r="F22" s="2">
        <f t="shared" si="8"/>
        <v>9</v>
      </c>
      <c r="G22" s="2">
        <f t="shared" si="8"/>
        <v>9</v>
      </c>
      <c r="H22" s="2">
        <f t="shared" si="8"/>
        <v>22</v>
      </c>
      <c r="I22" s="2">
        <f t="shared" si="8"/>
        <v>33</v>
      </c>
      <c r="J22" s="2">
        <f t="shared" si="8"/>
        <v>56</v>
      </c>
      <c r="K22" s="2">
        <f t="shared" si="8"/>
        <v>33</v>
      </c>
      <c r="L22" s="2">
        <f t="shared" si="8"/>
        <v>6</v>
      </c>
      <c r="M22" s="2">
        <f t="shared" si="8"/>
        <v>14</v>
      </c>
      <c r="N22" s="2">
        <f t="shared" si="8"/>
        <v>4752000</v>
      </c>
      <c r="O22" s="2">
        <f t="shared" si="8"/>
        <v>570240</v>
      </c>
      <c r="P22" s="2">
        <f t="shared" si="8"/>
        <v>237600</v>
      </c>
      <c r="Q22" s="2">
        <f t="shared" si="8"/>
        <v>5084640</v>
      </c>
      <c r="R22" s="2">
        <f t="shared" si="8"/>
        <v>0</v>
      </c>
      <c r="S22" s="2">
        <f t="shared" si="8"/>
        <v>12</v>
      </c>
      <c r="T22" s="2">
        <f t="shared" si="8"/>
        <v>5</v>
      </c>
      <c r="U22" s="2"/>
    </row>
    <row r="23" spans="1:21" x14ac:dyDescent="0.3">
      <c r="A23" s="2" t="s">
        <v>66</v>
      </c>
      <c r="B23" s="2"/>
      <c r="C23" s="2"/>
      <c r="D23" s="2"/>
      <c r="E23" s="2">
        <f t="shared" ref="E23:T23" si="9">AVERAGE(E2:E19)</f>
        <v>23366.111111111109</v>
      </c>
      <c r="F23" s="2">
        <f t="shared" si="9"/>
        <v>5.166666666666667</v>
      </c>
      <c r="G23" s="2">
        <f t="shared" si="9"/>
        <v>4</v>
      </c>
      <c r="H23" s="2">
        <f t="shared" si="9"/>
        <v>7.833333333333333</v>
      </c>
      <c r="I23" s="2">
        <f t="shared" si="9"/>
        <v>9.8888888888888893</v>
      </c>
      <c r="J23" s="2">
        <f t="shared" si="9"/>
        <v>26.888888888888889</v>
      </c>
      <c r="K23" s="2">
        <f t="shared" si="9"/>
        <v>11.722222222222221</v>
      </c>
      <c r="L23" s="2">
        <f t="shared" si="9"/>
        <v>2.7222222222222223</v>
      </c>
      <c r="M23" s="2">
        <f t="shared" si="9"/>
        <v>6.7222222222222223</v>
      </c>
      <c r="N23" s="2">
        <f t="shared" si="9"/>
        <v>743077.77777777775</v>
      </c>
      <c r="O23" s="2">
        <f t="shared" si="9"/>
        <v>89169.333333333328</v>
      </c>
      <c r="P23" s="2">
        <f t="shared" si="9"/>
        <v>37153.888888888891</v>
      </c>
      <c r="Q23" s="2">
        <f t="shared" si="9"/>
        <v>795093.22222222225</v>
      </c>
      <c r="R23" s="2" t="e">
        <f t="shared" si="9"/>
        <v>#DIV/0!</v>
      </c>
      <c r="S23" s="2">
        <f t="shared" si="9"/>
        <v>12</v>
      </c>
      <c r="T23" s="2">
        <f t="shared" si="9"/>
        <v>5</v>
      </c>
      <c r="U23" s="2"/>
    </row>
    <row r="24" spans="1:2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shivamkamat579@outlook.com</cp:lastModifiedBy>
  <dcterms:created xsi:type="dcterms:W3CDTF">2026-02-18T03:06:26Z</dcterms:created>
  <dcterms:modified xsi:type="dcterms:W3CDTF">2026-02-18T04:24:59Z</dcterms:modified>
</cp:coreProperties>
</file>