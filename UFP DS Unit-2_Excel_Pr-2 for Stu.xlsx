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609a8144b5f055/Documents/"/>
    </mc:Choice>
  </mc:AlternateContent>
  <xr:revisionPtr revIDLastSave="2" documentId="8_{CD4F8904-1D82-441E-895E-64B759646C97}" xr6:coauthVersionLast="47" xr6:coauthVersionMax="47" xr10:uidLastSave="{8B3237CA-CF33-44BB-BB86-DEEA2F2ECC81}"/>
  <bookViews>
    <workbookView xWindow="-108" yWindow="-108" windowWidth="23256" windowHeight="13176" tabRatio="911" xr2:uid="{00000000-000D-0000-FFFF-FFFF00000000}"/>
  </bookViews>
  <sheets>
    <sheet name="2_Demo Grp Filter" sheetId="33" r:id="rId1"/>
    <sheet name="2_ Demo Consol-1" sheetId="24" r:id="rId2"/>
    <sheet name="2_Demo Consol-2" sheetId="25" r:id="rId3"/>
    <sheet name="2_Demo Consol-3" sheetId="26" r:id="rId4"/>
    <sheet name="2_Demo Consol-4" sheetId="27" r:id="rId5"/>
    <sheet name="2_Demo_Consol-F" sheetId="28" r:id="rId6"/>
    <sheet name="3_Demo Charts" sheetId="30" r:id="rId7"/>
    <sheet name="4_Demo" sheetId="16" r:id="rId8"/>
    <sheet name="Pivot" sheetId="32" r:id="rId9"/>
  </sheets>
  <definedNames>
    <definedName name="_xlnm._FilterDatabase" localSheetId="0" hidden="1">'2_Demo Grp Filter'!$A$2:$P$20</definedName>
    <definedName name="_xlnm.Criteria" localSheetId="0">'2_Demo Grp Filter'!#REF!</definedName>
    <definedName name="_xlnm.Extract" localSheetId="0">'2_Demo Grp Filter'!#REF!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33" l="1"/>
  <c r="K20" i="33"/>
  <c r="J20" i="33"/>
  <c r="M20" i="33" s="1"/>
  <c r="L17" i="33"/>
  <c r="K17" i="33"/>
  <c r="J17" i="33"/>
  <c r="M17" i="33" s="1"/>
  <c r="O17" i="33" s="1"/>
  <c r="L18" i="33"/>
  <c r="K18" i="33"/>
  <c r="J18" i="33"/>
  <c r="M18" i="33" s="1"/>
  <c r="N18" i="33" s="1"/>
  <c r="L12" i="33"/>
  <c r="K12" i="33"/>
  <c r="J12" i="33"/>
  <c r="M12" i="33" s="1"/>
  <c r="L13" i="33"/>
  <c r="K13" i="33"/>
  <c r="J13" i="33"/>
  <c r="M13" i="33" s="1"/>
  <c r="L8" i="33"/>
  <c r="K8" i="33"/>
  <c r="J8" i="33"/>
  <c r="M8" i="33" s="1"/>
  <c r="L9" i="33"/>
  <c r="K9" i="33"/>
  <c r="J9" i="33"/>
  <c r="M9" i="33" s="1"/>
  <c r="L4" i="33"/>
  <c r="K4" i="33"/>
  <c r="J4" i="33"/>
  <c r="M4" i="33" s="1"/>
  <c r="O4" i="33" s="1"/>
  <c r="L5" i="33"/>
  <c r="K5" i="33"/>
  <c r="J5" i="33"/>
  <c r="M5" i="33" s="1"/>
  <c r="L19" i="33"/>
  <c r="K19" i="33"/>
  <c r="J19" i="33"/>
  <c r="M19" i="33" s="1"/>
  <c r="L15" i="33"/>
  <c r="K15" i="33"/>
  <c r="J15" i="33"/>
  <c r="M15" i="33" s="1"/>
  <c r="L16" i="33"/>
  <c r="K16" i="33"/>
  <c r="J16" i="33"/>
  <c r="M16" i="33" s="1"/>
  <c r="L14" i="33"/>
  <c r="K14" i="33"/>
  <c r="J14" i="33"/>
  <c r="M14" i="33" s="1"/>
  <c r="L10" i="33"/>
  <c r="K10" i="33"/>
  <c r="J10" i="33"/>
  <c r="M10" i="33" s="1"/>
  <c r="L11" i="33"/>
  <c r="K11" i="33"/>
  <c r="J11" i="33"/>
  <c r="M11" i="33" s="1"/>
  <c r="O11" i="33" s="1"/>
  <c r="L7" i="33"/>
  <c r="K7" i="33"/>
  <c r="J7" i="33"/>
  <c r="M7" i="33" s="1"/>
  <c r="O7" i="33" s="1"/>
  <c r="L6" i="33"/>
  <c r="K6" i="33"/>
  <c r="J6" i="33"/>
  <c r="M6" i="33" s="1"/>
  <c r="L3" i="33"/>
  <c r="K3" i="33"/>
  <c r="J3" i="33"/>
  <c r="M3" i="33" s="1"/>
  <c r="M16" i="16"/>
  <c r="N8" i="16"/>
  <c r="N7" i="16"/>
  <c r="N15" i="33" l="1"/>
  <c r="O15" i="33"/>
  <c r="O5" i="33"/>
  <c r="N5" i="33"/>
  <c r="O9" i="33"/>
  <c r="N9" i="33"/>
  <c r="P9" i="33"/>
  <c r="O3" i="33"/>
  <c r="N3" i="33"/>
  <c r="O12" i="33"/>
  <c r="N12" i="33"/>
  <c r="P12" i="33" s="1"/>
  <c r="N6" i="33"/>
  <c r="O6" i="33"/>
  <c r="O14" i="33"/>
  <c r="N14" i="33"/>
  <c r="O19" i="33"/>
  <c r="P19" i="33" s="1"/>
  <c r="N19" i="33"/>
  <c r="O20" i="33"/>
  <c r="N20" i="33"/>
  <c r="P20" i="33" s="1"/>
  <c r="O16" i="33"/>
  <c r="N16" i="33"/>
  <c r="P16" i="33" s="1"/>
  <c r="N13" i="33"/>
  <c r="O13" i="33"/>
  <c r="P13" i="33" s="1"/>
  <c r="N17" i="33"/>
  <c r="P17" i="33" s="1"/>
  <c r="O18" i="33"/>
  <c r="P18" i="33" s="1"/>
  <c r="N8" i="33"/>
  <c r="N10" i="33"/>
  <c r="N11" i="33"/>
  <c r="P11" i="33" s="1"/>
  <c r="O10" i="33"/>
  <c r="O8" i="33"/>
  <c r="N7" i="33"/>
  <c r="P7" i="33" s="1"/>
  <c r="N4" i="33"/>
  <c r="P4" i="33" s="1"/>
  <c r="F10" i="16"/>
  <c r="F9" i="16"/>
  <c r="F8" i="16"/>
  <c r="F7" i="16"/>
  <c r="H7" i="16" s="1"/>
  <c r="F6" i="16"/>
  <c r="F5" i="16"/>
  <c r="F3" i="16"/>
  <c r="P5" i="33" l="1"/>
  <c r="P8" i="33"/>
  <c r="P3" i="33"/>
  <c r="P10" i="33"/>
  <c r="P14" i="33"/>
  <c r="P6" i="33"/>
  <c r="P15" i="33"/>
  <c r="E11" i="16"/>
  <c r="G5" i="16"/>
  <c r="H5" i="16"/>
  <c r="G10" i="16"/>
  <c r="H10" i="16"/>
  <c r="G6" i="16"/>
  <c r="H6" i="16"/>
  <c r="G8" i="16"/>
  <c r="H8" i="16"/>
  <c r="G9" i="16"/>
  <c r="H9" i="16"/>
  <c r="F4" i="16"/>
  <c r="F11" i="16" s="1"/>
  <c r="G3" i="16"/>
  <c r="G7" i="16"/>
  <c r="I7" i="16" s="1"/>
  <c r="H3" i="16"/>
  <c r="I6" i="16" l="1"/>
  <c r="I10" i="16"/>
  <c r="I5" i="16"/>
  <c r="I9" i="16"/>
  <c r="I8" i="16"/>
  <c r="G4" i="16"/>
  <c r="G11" i="16" s="1"/>
  <c r="H4" i="16"/>
  <c r="H11" i="16" s="1"/>
  <c r="I3" i="16"/>
  <c r="I4" i="16" l="1"/>
  <c r="I11" i="16" s="1"/>
</calcChain>
</file>

<file path=xl/sharedStrings.xml><?xml version="1.0" encoding="utf-8"?>
<sst xmlns="http://schemas.openxmlformats.org/spreadsheetml/2006/main" count="458" uniqueCount="89">
  <si>
    <t>Product Name</t>
  </si>
  <si>
    <t>Price/Unit</t>
  </si>
  <si>
    <t>Product Code</t>
  </si>
  <si>
    <t>Adobe Photoshop V20</t>
  </si>
  <si>
    <t>Sofos Antivirus</t>
  </si>
  <si>
    <t>E-Scan Antivirus</t>
  </si>
  <si>
    <t>Quick Heal 2020 Antivirus</t>
  </si>
  <si>
    <t>Autocad Flight</t>
  </si>
  <si>
    <t>Pro E CAD</t>
  </si>
  <si>
    <t>IBM DB2</t>
  </si>
  <si>
    <t>SQL Server Enterprise Edition</t>
  </si>
  <si>
    <t>Tableau Advanced</t>
  </si>
  <si>
    <t>Total Sales</t>
  </si>
  <si>
    <t>Net Amount</t>
  </si>
  <si>
    <t>Total Sales Amount</t>
  </si>
  <si>
    <t>Category</t>
  </si>
  <si>
    <t>Application</t>
  </si>
  <si>
    <t>Antivirus</t>
  </si>
  <si>
    <t>Database</t>
  </si>
  <si>
    <t>AV015</t>
  </si>
  <si>
    <t>AV013</t>
  </si>
  <si>
    <t>AP007</t>
  </si>
  <si>
    <t>AV017</t>
  </si>
  <si>
    <t>AP018</t>
  </si>
  <si>
    <t>AP019</t>
  </si>
  <si>
    <t>DA020</t>
  </si>
  <si>
    <t>DA024</t>
  </si>
  <si>
    <t>AP025</t>
  </si>
  <si>
    <t>Qtr 1 Sales (Qty)</t>
  </si>
  <si>
    <t>Taxes (12%)</t>
  </si>
  <si>
    <t>TAX Rate(%)</t>
  </si>
  <si>
    <t>Discount</t>
  </si>
  <si>
    <t>Discount Rate (%)</t>
  </si>
  <si>
    <t>Qtr 2 Sales (Qty)</t>
  </si>
  <si>
    <t>Qtr 3 Sales (Qty)</t>
  </si>
  <si>
    <t>Qtr 4 Sales (Qty)</t>
  </si>
  <si>
    <t>Jupiter Softwares Pvt. Ltd. (Sales 2014-15)</t>
  </si>
  <si>
    <t>Version</t>
  </si>
  <si>
    <t>Standard</t>
  </si>
  <si>
    <t>Enterprise</t>
  </si>
  <si>
    <t>Total Lectures in Semester</t>
  </si>
  <si>
    <t>Presence</t>
  </si>
  <si>
    <t>Absence</t>
  </si>
  <si>
    <t>Percentage Attd.</t>
  </si>
  <si>
    <t>set cell</t>
  </si>
  <si>
    <t>to value</t>
  </si>
  <si>
    <t>By changing cell</t>
  </si>
  <si>
    <t>&lt;&lt;--SCENARIO LEFT TABLE</t>
  </si>
  <si>
    <t>GOAL SEEK (BELOW)</t>
  </si>
  <si>
    <t>Yearly Sales</t>
  </si>
  <si>
    <t>Overs</t>
  </si>
  <si>
    <t>Mumbai Indians</t>
  </si>
  <si>
    <t>Gujarat Titans</t>
  </si>
  <si>
    <t>Price per Software Copy</t>
  </si>
  <si>
    <t>No. of copies sold per month</t>
  </si>
  <si>
    <t>Shipped On</t>
  </si>
  <si>
    <t>Edition</t>
  </si>
  <si>
    <t>Branch</t>
  </si>
  <si>
    <t>Units</t>
  </si>
  <si>
    <t>Delphi</t>
  </si>
  <si>
    <t>Las Vegas</t>
  </si>
  <si>
    <t>Power Builder</t>
  </si>
  <si>
    <t>Atlanta</t>
  </si>
  <si>
    <t>Windows</t>
  </si>
  <si>
    <t>Georgia</t>
  </si>
  <si>
    <t>Desktop</t>
  </si>
  <si>
    <t>Max Sales</t>
  </si>
  <si>
    <t>Min Sales</t>
  </si>
  <si>
    <t>DA012</t>
  </si>
  <si>
    <t>Oracle 20</t>
  </si>
  <si>
    <t>ID020</t>
  </si>
  <si>
    <t>Visual Studio Enterprise V 2020</t>
  </si>
  <si>
    <t>IDE</t>
  </si>
  <si>
    <t>OS022</t>
  </si>
  <si>
    <t>Solaris OS</t>
  </si>
  <si>
    <t>OS</t>
  </si>
  <si>
    <t>OS003</t>
  </si>
  <si>
    <t>Microsoft Windows Server 2018</t>
  </si>
  <si>
    <t>SE005</t>
  </si>
  <si>
    <t>Microsoft Sharepoint Server 2020</t>
  </si>
  <si>
    <t>Server</t>
  </si>
  <si>
    <t>DA092</t>
  </si>
  <si>
    <t>Ingress</t>
  </si>
  <si>
    <t>OS021</t>
  </si>
  <si>
    <t>Mac OS</t>
  </si>
  <si>
    <t>OS001</t>
  </si>
  <si>
    <t>Microsoft Windows Professional</t>
  </si>
  <si>
    <t>SE087</t>
  </si>
  <si>
    <t>IIS 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</si>
</sst>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8"/>
      <color theme="0"/>
      <name val="Calibri"/>
      <family val="2"/>
      <scheme val="minor"/>
    </font>
    <font>
      <sz val="18"/>
      <color theme="1"/>
      <name val="Cambria"/>
      <family val="1"/>
      <scheme val="maj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EFA9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5" fillId="0" borderId="4" xfId="0" applyNumberFormat="1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9" fontId="0" fillId="0" borderId="0" xfId="0" applyNumberFormat="1"/>
    <xf numFmtId="0" fontId="3" fillId="4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19DEF3"/>
      <color rgb="FFFF0066"/>
      <color rgb="FF8EFA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6832-5CAF-4D18-97CA-542A28C461FB}">
  <dimension ref="A1:T38"/>
  <sheetViews>
    <sheetView tabSelected="1" zoomScale="96" zoomScaleNormal="82" workbookViewId="0">
      <selection activeCell="A2" sqref="A2:P20"/>
    </sheetView>
  </sheetViews>
  <sheetFormatPr defaultRowHeight="14.4" x14ac:dyDescent="0.3"/>
  <cols>
    <col min="1" max="1" width="9.88671875" customWidth="1"/>
    <col min="2" max="2" width="27.109375" customWidth="1"/>
    <col min="3" max="3" width="12.88671875" customWidth="1"/>
    <col min="4" max="4" width="12.5546875" customWidth="1"/>
    <col min="5" max="5" width="11.33203125" customWidth="1"/>
    <col min="6" max="6" width="7.44140625" customWidth="1"/>
    <col min="7" max="7" width="6.44140625" customWidth="1"/>
    <col min="8" max="8" width="6.88671875" customWidth="1"/>
    <col min="9" max="9" width="6.33203125" customWidth="1"/>
    <col min="10" max="10" width="8.109375" customWidth="1"/>
    <col min="11" max="11" width="7.109375" customWidth="1"/>
    <col min="12" max="12" width="6.33203125" customWidth="1"/>
    <col min="13" max="13" width="13.109375" customWidth="1"/>
    <col min="14" max="15" width="11.33203125" customWidth="1"/>
    <col min="16" max="16" width="12.44140625" customWidth="1"/>
  </cols>
  <sheetData>
    <row r="1" spans="1:20" ht="23.4" x14ac:dyDescent="0.45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20" ht="73.5" customHeight="1" x14ac:dyDescent="0.3">
      <c r="A2" s="2" t="s">
        <v>2</v>
      </c>
      <c r="B2" s="2" t="s">
        <v>0</v>
      </c>
      <c r="C2" s="2" t="s">
        <v>15</v>
      </c>
      <c r="D2" s="2" t="s">
        <v>37</v>
      </c>
      <c r="E2" s="2" t="s">
        <v>1</v>
      </c>
      <c r="F2" s="2" t="s">
        <v>28</v>
      </c>
      <c r="G2" s="2" t="s">
        <v>33</v>
      </c>
      <c r="H2" s="2" t="s">
        <v>34</v>
      </c>
      <c r="I2" s="2" t="s">
        <v>35</v>
      </c>
      <c r="J2" s="2" t="s">
        <v>12</v>
      </c>
      <c r="K2" s="2" t="s">
        <v>66</v>
      </c>
      <c r="L2" s="2" t="s">
        <v>67</v>
      </c>
      <c r="M2" s="2" t="s">
        <v>14</v>
      </c>
      <c r="N2" s="2" t="s">
        <v>29</v>
      </c>
      <c r="O2" s="2" t="s">
        <v>31</v>
      </c>
      <c r="P2" s="2" t="s">
        <v>13</v>
      </c>
      <c r="Q2" s="3"/>
      <c r="R2" s="4" t="s">
        <v>30</v>
      </c>
      <c r="S2" s="5" t="s">
        <v>32</v>
      </c>
      <c r="T2" s="3"/>
    </row>
    <row r="3" spans="1:20" ht="15.6" x14ac:dyDescent="0.3">
      <c r="A3" s="6" t="s">
        <v>19</v>
      </c>
      <c r="B3" s="6" t="s">
        <v>5</v>
      </c>
      <c r="C3" s="6" t="s">
        <v>17</v>
      </c>
      <c r="D3" s="6" t="s">
        <v>39</v>
      </c>
      <c r="E3" s="6">
        <v>1200</v>
      </c>
      <c r="F3" s="6">
        <v>7</v>
      </c>
      <c r="G3" s="6">
        <v>7</v>
      </c>
      <c r="H3" s="6">
        <v>7</v>
      </c>
      <c r="I3" s="6">
        <v>6</v>
      </c>
      <c r="J3" s="6">
        <f>SUM(F3:I3)</f>
        <v>27</v>
      </c>
      <c r="K3" s="6">
        <f>MAX(F3:I3)</f>
        <v>7</v>
      </c>
      <c r="L3" s="6">
        <f>MIN(F3:I3)</f>
        <v>6</v>
      </c>
      <c r="M3" s="6">
        <f>J3*E3</f>
        <v>32400</v>
      </c>
      <c r="N3" s="6">
        <f>M3*$R$3/100</f>
        <v>3888</v>
      </c>
      <c r="O3" s="6">
        <f>M3*$S$3/100</f>
        <v>1620</v>
      </c>
      <c r="P3" s="6">
        <f>M3+N3-O3</f>
        <v>34668</v>
      </c>
      <c r="Q3" s="3"/>
      <c r="R3" s="7">
        <v>12</v>
      </c>
      <c r="S3" s="8">
        <v>5</v>
      </c>
      <c r="T3" s="3"/>
    </row>
    <row r="4" spans="1:20" ht="15.6" x14ac:dyDescent="0.3">
      <c r="A4" s="6" t="s">
        <v>22</v>
      </c>
      <c r="B4" s="6" t="s">
        <v>4</v>
      </c>
      <c r="C4" s="6" t="s">
        <v>17</v>
      </c>
      <c r="D4" s="6" t="s">
        <v>38</v>
      </c>
      <c r="E4" s="6">
        <v>1100</v>
      </c>
      <c r="F4" s="6">
        <v>6</v>
      </c>
      <c r="G4" s="6">
        <v>8</v>
      </c>
      <c r="H4" s="6">
        <v>6</v>
      </c>
      <c r="I4" s="6">
        <v>8</v>
      </c>
      <c r="J4" s="6">
        <f>SUM(F4:I4)</f>
        <v>28</v>
      </c>
      <c r="K4" s="6">
        <f>MAX(F4:I4)</f>
        <v>8</v>
      </c>
      <c r="L4" s="6">
        <f>MIN(F4:I4)</f>
        <v>6</v>
      </c>
      <c r="M4" s="6">
        <f>J4*E4</f>
        <v>30800</v>
      </c>
      <c r="N4" s="6">
        <f>M4*$R$3/100</f>
        <v>3696</v>
      </c>
      <c r="O4" s="6">
        <f>M4*$S$3/100</f>
        <v>1540</v>
      </c>
      <c r="P4" s="6">
        <f>M4+N4-O4</f>
        <v>32956</v>
      </c>
      <c r="Q4" s="3"/>
      <c r="R4" s="3"/>
      <c r="S4" s="3"/>
      <c r="T4" s="3"/>
    </row>
    <row r="5" spans="1:20" ht="17.25" customHeight="1" x14ac:dyDescent="0.3">
      <c r="A5" s="6" t="s">
        <v>20</v>
      </c>
      <c r="B5" s="6" t="s">
        <v>6</v>
      </c>
      <c r="C5" s="6" t="s">
        <v>17</v>
      </c>
      <c r="D5" s="6" t="s">
        <v>38</v>
      </c>
      <c r="E5" s="6">
        <v>1500</v>
      </c>
      <c r="F5" s="6">
        <v>9</v>
      </c>
      <c r="G5" s="6">
        <v>6</v>
      </c>
      <c r="H5" s="6">
        <v>9</v>
      </c>
      <c r="I5" s="6">
        <v>2</v>
      </c>
      <c r="J5" s="6">
        <f>SUM(F5:I5)</f>
        <v>26</v>
      </c>
      <c r="K5" s="6">
        <f>MAX(F5:I5)</f>
        <v>9</v>
      </c>
      <c r="L5" s="6">
        <f>MIN(F5:I5)</f>
        <v>2</v>
      </c>
      <c r="M5" s="6">
        <f>J5*E5</f>
        <v>39000</v>
      </c>
      <c r="N5" s="6">
        <f>M5*$R$3/100</f>
        <v>4680</v>
      </c>
      <c r="O5" s="6">
        <f>M5*$S$3/100</f>
        <v>1950</v>
      </c>
      <c r="P5" s="6">
        <f>M5+N5-O5</f>
        <v>41730</v>
      </c>
      <c r="Q5" s="3"/>
      <c r="R5" s="3"/>
      <c r="S5" s="3"/>
      <c r="T5" s="3"/>
    </row>
    <row r="6" spans="1:20" ht="15.6" x14ac:dyDescent="0.3">
      <c r="A6" s="6" t="s">
        <v>21</v>
      </c>
      <c r="B6" s="6" t="s">
        <v>3</v>
      </c>
      <c r="C6" s="6" t="s">
        <v>16</v>
      </c>
      <c r="D6" s="6" t="s">
        <v>39</v>
      </c>
      <c r="E6" s="6">
        <v>8000</v>
      </c>
      <c r="F6" s="6">
        <v>7</v>
      </c>
      <c r="G6" s="6">
        <v>4</v>
      </c>
      <c r="H6" s="6">
        <v>9</v>
      </c>
      <c r="I6" s="6">
        <v>5</v>
      </c>
      <c r="J6" s="6">
        <f>SUM(F6:I6)</f>
        <v>25</v>
      </c>
      <c r="K6" s="6">
        <f>MAX(F6:I6)</f>
        <v>9</v>
      </c>
      <c r="L6" s="6">
        <f>MIN(F6:I6)</f>
        <v>4</v>
      </c>
      <c r="M6" s="6">
        <f>J6*E6</f>
        <v>200000</v>
      </c>
      <c r="N6" s="6">
        <f>M6*$R$3/100</f>
        <v>24000</v>
      </c>
      <c r="O6" s="6">
        <f>M6*$S$3/100</f>
        <v>10000</v>
      </c>
      <c r="P6" s="6">
        <f>M6+N6-O6</f>
        <v>214000</v>
      </c>
      <c r="Q6" s="3"/>
      <c r="R6" s="3"/>
      <c r="S6" s="3"/>
      <c r="T6" s="3"/>
    </row>
    <row r="7" spans="1:20" ht="15.6" x14ac:dyDescent="0.3">
      <c r="A7" s="6" t="s">
        <v>27</v>
      </c>
      <c r="B7" s="6" t="s">
        <v>11</v>
      </c>
      <c r="C7" s="6" t="s">
        <v>16</v>
      </c>
      <c r="D7" s="6" t="s">
        <v>39</v>
      </c>
      <c r="E7" s="6">
        <v>45000</v>
      </c>
      <c r="F7" s="6">
        <v>3</v>
      </c>
      <c r="G7" s="6">
        <v>0</v>
      </c>
      <c r="H7" s="6">
        <v>9</v>
      </c>
      <c r="I7" s="6">
        <v>7</v>
      </c>
      <c r="J7" s="6">
        <f>SUM(F7:I7)</f>
        <v>19</v>
      </c>
      <c r="K7" s="6">
        <f>MAX(F7:I7)</f>
        <v>9</v>
      </c>
      <c r="L7" s="6">
        <f>MIN(F7:I7)</f>
        <v>0</v>
      </c>
      <c r="M7" s="6">
        <f>J7*E7</f>
        <v>855000</v>
      </c>
      <c r="N7" s="6">
        <f>M7*$R$3/100</f>
        <v>102600</v>
      </c>
      <c r="O7" s="6">
        <f>M7*$S$3/100</f>
        <v>42750</v>
      </c>
      <c r="P7" s="6">
        <f>M7+N7-O7</f>
        <v>914850</v>
      </c>
      <c r="Q7" s="3"/>
      <c r="R7" s="3"/>
      <c r="S7" s="3"/>
      <c r="T7" s="3"/>
    </row>
    <row r="8" spans="1:20" ht="15.6" x14ac:dyDescent="0.3">
      <c r="A8" s="6" t="s">
        <v>24</v>
      </c>
      <c r="B8" s="6" t="s">
        <v>8</v>
      </c>
      <c r="C8" s="6" t="s">
        <v>16</v>
      </c>
      <c r="D8" s="6" t="s">
        <v>38</v>
      </c>
      <c r="E8" s="6">
        <v>81000</v>
      </c>
      <c r="F8" s="6">
        <v>3</v>
      </c>
      <c r="G8" s="6">
        <v>3</v>
      </c>
      <c r="H8" s="6">
        <v>11</v>
      </c>
      <c r="I8" s="6">
        <v>11</v>
      </c>
      <c r="J8" s="6">
        <f>SUM(F8:I8)</f>
        <v>28</v>
      </c>
      <c r="K8" s="6">
        <f>MAX(F8:I8)</f>
        <v>11</v>
      </c>
      <c r="L8" s="6">
        <f>MIN(F8:I8)</f>
        <v>3</v>
      </c>
      <c r="M8" s="6">
        <f>J8*E8</f>
        <v>2268000</v>
      </c>
      <c r="N8" s="6">
        <f>M8*$R$3/100</f>
        <v>272160</v>
      </c>
      <c r="O8" s="6">
        <f>M8*$S$3/100</f>
        <v>113400</v>
      </c>
      <c r="P8" s="6">
        <f>M8+N8-O8</f>
        <v>2426760</v>
      </c>
      <c r="Q8" s="3"/>
      <c r="R8" s="3"/>
      <c r="S8" s="3"/>
      <c r="T8" s="3"/>
    </row>
    <row r="9" spans="1:20" ht="15.6" x14ac:dyDescent="0.3">
      <c r="A9" s="6" t="s">
        <v>23</v>
      </c>
      <c r="B9" s="6" t="s">
        <v>7</v>
      </c>
      <c r="C9" s="6" t="s">
        <v>16</v>
      </c>
      <c r="D9" s="6" t="s">
        <v>38</v>
      </c>
      <c r="E9" s="6">
        <v>98000</v>
      </c>
      <c r="F9" s="6">
        <v>4</v>
      </c>
      <c r="G9" s="6">
        <v>9</v>
      </c>
      <c r="H9" s="6">
        <v>5</v>
      </c>
      <c r="I9" s="6">
        <v>9</v>
      </c>
      <c r="J9" s="6">
        <f>SUM(F9:I9)</f>
        <v>27</v>
      </c>
      <c r="K9" s="6">
        <f>MAX(F9:I9)</f>
        <v>9</v>
      </c>
      <c r="L9" s="6">
        <f>MIN(F9:I9)</f>
        <v>4</v>
      </c>
      <c r="M9" s="6">
        <f>J9*E9</f>
        <v>2646000</v>
      </c>
      <c r="N9" s="6">
        <f>M9*$R$3/100</f>
        <v>317520</v>
      </c>
      <c r="O9" s="6">
        <f>M9*$S$3/100</f>
        <v>132300</v>
      </c>
      <c r="P9" s="6">
        <f>M9+N9-O9</f>
        <v>2831220</v>
      </c>
      <c r="Q9" s="3"/>
      <c r="R9" s="3"/>
      <c r="S9" s="3"/>
      <c r="T9" s="3"/>
    </row>
    <row r="10" spans="1:20" ht="15.6" x14ac:dyDescent="0.3">
      <c r="A10" s="6" t="s">
        <v>25</v>
      </c>
      <c r="B10" s="6" t="s">
        <v>9</v>
      </c>
      <c r="C10" s="6" t="s">
        <v>18</v>
      </c>
      <c r="D10" s="6" t="s">
        <v>39</v>
      </c>
      <c r="E10" s="6">
        <v>5900</v>
      </c>
      <c r="F10" s="6">
        <v>6</v>
      </c>
      <c r="G10" s="6">
        <v>4</v>
      </c>
      <c r="H10" s="6">
        <v>22</v>
      </c>
      <c r="I10" s="6">
        <v>24</v>
      </c>
      <c r="J10" s="6">
        <f>SUM(F10:I10)</f>
        <v>56</v>
      </c>
      <c r="K10" s="6">
        <f>MAX(F10:I10)</f>
        <v>24</v>
      </c>
      <c r="L10" s="6">
        <f>MIN(F10:I10)</f>
        <v>4</v>
      </c>
      <c r="M10" s="6">
        <f>J10*E10</f>
        <v>330400</v>
      </c>
      <c r="N10" s="6">
        <f>M10*$R$3/100</f>
        <v>39648</v>
      </c>
      <c r="O10" s="6">
        <f>M10*$S$3/100</f>
        <v>16520</v>
      </c>
      <c r="P10" s="6">
        <f>M10+N10-O10</f>
        <v>353528</v>
      </c>
      <c r="Q10" s="3"/>
      <c r="R10" s="3"/>
      <c r="S10" s="3"/>
      <c r="T10" s="3"/>
    </row>
    <row r="11" spans="1:20" ht="15.6" x14ac:dyDescent="0.3">
      <c r="A11" s="6" t="s">
        <v>68</v>
      </c>
      <c r="B11" s="6" t="s">
        <v>69</v>
      </c>
      <c r="C11" s="6" t="s">
        <v>18</v>
      </c>
      <c r="D11" s="6" t="s">
        <v>39</v>
      </c>
      <c r="E11" s="6">
        <v>88000</v>
      </c>
      <c r="F11" s="6">
        <v>8</v>
      </c>
      <c r="G11" s="6">
        <v>5</v>
      </c>
      <c r="H11" s="6">
        <v>8</v>
      </c>
      <c r="I11" s="6">
        <v>33</v>
      </c>
      <c r="J11" s="6">
        <f>SUM(F11:I11)</f>
        <v>54</v>
      </c>
      <c r="K11" s="6">
        <f>MAX(F11:I11)</f>
        <v>33</v>
      </c>
      <c r="L11" s="6">
        <f>MIN(F11:I11)</f>
        <v>5</v>
      </c>
      <c r="M11" s="6">
        <f>J11*E11</f>
        <v>4752000</v>
      </c>
      <c r="N11" s="6">
        <f>M11*$R$3/100</f>
        <v>570240</v>
      </c>
      <c r="O11" s="6">
        <f>M11*$S$3/100</f>
        <v>237600</v>
      </c>
      <c r="P11" s="6">
        <f>M11+N11-O11</f>
        <v>5084640</v>
      </c>
      <c r="Q11" s="3"/>
      <c r="R11" s="3"/>
      <c r="S11" s="3"/>
      <c r="T11" s="3"/>
    </row>
    <row r="12" spans="1:20" ht="30.6" x14ac:dyDescent="0.3">
      <c r="A12" s="6" t="s">
        <v>26</v>
      </c>
      <c r="B12" s="6" t="s">
        <v>10</v>
      </c>
      <c r="C12" s="6" t="s">
        <v>18</v>
      </c>
      <c r="D12" s="6" t="s">
        <v>38</v>
      </c>
      <c r="E12" s="6">
        <v>6290</v>
      </c>
      <c r="F12" s="6">
        <v>2</v>
      </c>
      <c r="G12" s="6">
        <v>5</v>
      </c>
      <c r="H12" s="6">
        <v>5</v>
      </c>
      <c r="I12" s="6">
        <v>8</v>
      </c>
      <c r="J12" s="6">
        <f>SUM(F12:I12)</f>
        <v>20</v>
      </c>
      <c r="K12" s="6">
        <f>MAX(F12:I12)</f>
        <v>8</v>
      </c>
      <c r="L12" s="6">
        <f>MIN(F12:I12)</f>
        <v>2</v>
      </c>
      <c r="M12" s="6">
        <f>J12*E12</f>
        <v>125800</v>
      </c>
      <c r="N12" s="6">
        <f>M12*$R$3/100</f>
        <v>15096</v>
      </c>
      <c r="O12" s="6">
        <f>M12*$S$3/100</f>
        <v>6290</v>
      </c>
      <c r="P12" s="6">
        <f>M12+N12-O12</f>
        <v>134606</v>
      </c>
      <c r="Q12" s="3"/>
      <c r="R12" s="3"/>
      <c r="S12" s="3"/>
      <c r="T12" s="3"/>
    </row>
    <row r="13" spans="1:20" ht="15.6" x14ac:dyDescent="0.3">
      <c r="A13" s="6" t="s">
        <v>81</v>
      </c>
      <c r="B13" s="6" t="s">
        <v>82</v>
      </c>
      <c r="C13" s="6" t="s">
        <v>18</v>
      </c>
      <c r="D13" s="6" t="s">
        <v>38</v>
      </c>
      <c r="E13" s="6">
        <v>7000</v>
      </c>
      <c r="F13" s="6">
        <v>3</v>
      </c>
      <c r="G13" s="6">
        <v>4</v>
      </c>
      <c r="H13" s="6">
        <v>8</v>
      </c>
      <c r="I13" s="6">
        <v>4</v>
      </c>
      <c r="J13" s="6">
        <f>SUM(F13:I13)</f>
        <v>19</v>
      </c>
      <c r="K13" s="6">
        <f>MAX(F13:I13)</f>
        <v>8</v>
      </c>
      <c r="L13" s="6">
        <f>MIN(F13:I13)</f>
        <v>3</v>
      </c>
      <c r="M13" s="6">
        <f>J13*E13</f>
        <v>133000</v>
      </c>
      <c r="N13" s="6">
        <f>M13*$R$3/100</f>
        <v>15960</v>
      </c>
      <c r="O13" s="6">
        <f>M13*$S$3/100</f>
        <v>6650</v>
      </c>
      <c r="P13" s="6">
        <f>M13+N13-O13</f>
        <v>142310</v>
      </c>
      <c r="Q13" s="3"/>
      <c r="R13" s="3"/>
      <c r="S13" s="3"/>
      <c r="T13" s="3"/>
    </row>
    <row r="14" spans="1:20" ht="30.6" x14ac:dyDescent="0.3">
      <c r="A14" s="6" t="s">
        <v>70</v>
      </c>
      <c r="B14" s="6" t="s">
        <v>71</v>
      </c>
      <c r="C14" s="6" t="s">
        <v>72</v>
      </c>
      <c r="D14" s="6" t="s">
        <v>39</v>
      </c>
      <c r="E14" s="6">
        <v>12000</v>
      </c>
      <c r="F14" s="6">
        <v>6</v>
      </c>
      <c r="G14" s="6">
        <v>5</v>
      </c>
      <c r="H14" s="6">
        <v>5</v>
      </c>
      <c r="I14" s="6">
        <v>2</v>
      </c>
      <c r="J14" s="6">
        <f>SUM(F14:I14)</f>
        <v>18</v>
      </c>
      <c r="K14" s="6">
        <f>MAX(F14:I14)</f>
        <v>6</v>
      </c>
      <c r="L14" s="6">
        <f>MIN(F14:I14)</f>
        <v>2</v>
      </c>
      <c r="M14" s="6">
        <f>J14*E14</f>
        <v>216000</v>
      </c>
      <c r="N14" s="6">
        <f>M14*$R$3/100</f>
        <v>25920</v>
      </c>
      <c r="O14" s="6">
        <f>M14*$S$3/100</f>
        <v>10800</v>
      </c>
      <c r="P14" s="6">
        <f>M14+N14-O14</f>
        <v>231120</v>
      </c>
      <c r="Q14" s="3"/>
      <c r="R14" s="3"/>
      <c r="S14" s="3"/>
      <c r="T14" s="3"/>
    </row>
    <row r="15" spans="1:20" ht="30.6" x14ac:dyDescent="0.3">
      <c r="A15" s="6" t="s">
        <v>76</v>
      </c>
      <c r="B15" s="6" t="s">
        <v>77</v>
      </c>
      <c r="C15" s="6" t="s">
        <v>75</v>
      </c>
      <c r="D15" s="6" t="s">
        <v>39</v>
      </c>
      <c r="E15" s="6">
        <v>9000</v>
      </c>
      <c r="F15" s="6">
        <v>3</v>
      </c>
      <c r="G15" s="6">
        <v>2</v>
      </c>
      <c r="H15" s="6">
        <v>7</v>
      </c>
      <c r="I15" s="6">
        <v>3</v>
      </c>
      <c r="J15" s="6">
        <f>SUM(F15:I15)</f>
        <v>15</v>
      </c>
      <c r="K15" s="6">
        <f>MAX(F15:I15)</f>
        <v>7</v>
      </c>
      <c r="L15" s="6">
        <f>MIN(F15:I15)</f>
        <v>2</v>
      </c>
      <c r="M15" s="6">
        <f>J15*E15</f>
        <v>135000</v>
      </c>
      <c r="N15" s="6">
        <f>M15*$R$3/100</f>
        <v>16200</v>
      </c>
      <c r="O15" s="6">
        <f>M15*$S$3/100</f>
        <v>6750</v>
      </c>
      <c r="P15" s="6">
        <f>M15+N15-O15</f>
        <v>144450</v>
      </c>
      <c r="Q15" s="3"/>
      <c r="R15" s="3"/>
      <c r="S15" s="3"/>
      <c r="T15" s="3"/>
    </row>
    <row r="16" spans="1:20" ht="15.6" x14ac:dyDescent="0.3">
      <c r="A16" s="6" t="s">
        <v>73</v>
      </c>
      <c r="B16" s="6" t="s">
        <v>74</v>
      </c>
      <c r="C16" s="6" t="s">
        <v>75</v>
      </c>
      <c r="D16" s="6" t="s">
        <v>39</v>
      </c>
      <c r="E16" s="6">
        <v>13000</v>
      </c>
      <c r="F16" s="6">
        <v>8</v>
      </c>
      <c r="G16" s="6">
        <v>2</v>
      </c>
      <c r="H16" s="6">
        <v>6</v>
      </c>
      <c r="I16" s="6">
        <v>5</v>
      </c>
      <c r="J16" s="6">
        <f>SUM(F16:I16)</f>
        <v>21</v>
      </c>
      <c r="K16" s="6">
        <f>MAX(F16:I16)</f>
        <v>8</v>
      </c>
      <c r="L16" s="6">
        <f>MIN(F16:I16)</f>
        <v>2</v>
      </c>
      <c r="M16" s="6">
        <f>J16*E16</f>
        <v>273000</v>
      </c>
      <c r="N16" s="6">
        <f>M16*$R$3/100</f>
        <v>32760</v>
      </c>
      <c r="O16" s="6">
        <f>M16*$S$3/100</f>
        <v>13650</v>
      </c>
      <c r="P16" s="6">
        <f>M16+N16-O16</f>
        <v>292110</v>
      </c>
      <c r="Q16" s="3"/>
      <c r="R16" s="3"/>
      <c r="S16" s="3"/>
      <c r="T16" s="3"/>
    </row>
    <row r="17" spans="1:20" ht="30.6" x14ac:dyDescent="0.3">
      <c r="A17" s="6" t="s">
        <v>85</v>
      </c>
      <c r="B17" s="6" t="s">
        <v>86</v>
      </c>
      <c r="C17" s="6" t="s">
        <v>75</v>
      </c>
      <c r="D17" s="6" t="s">
        <v>38</v>
      </c>
      <c r="E17" s="6">
        <v>5600</v>
      </c>
      <c r="F17" s="6">
        <v>5</v>
      </c>
      <c r="G17" s="6">
        <v>0</v>
      </c>
      <c r="H17" s="6">
        <v>6</v>
      </c>
      <c r="I17" s="6">
        <v>9</v>
      </c>
      <c r="J17" s="6">
        <f>SUM(F17:I17)</f>
        <v>20</v>
      </c>
      <c r="K17" s="6">
        <f>MAX(F17:I17)</f>
        <v>9</v>
      </c>
      <c r="L17" s="6">
        <f>MIN(F17:I17)</f>
        <v>0</v>
      </c>
      <c r="M17" s="6">
        <f>J17*E17</f>
        <v>112000</v>
      </c>
      <c r="N17" s="6">
        <f>M17*$R$3/100</f>
        <v>13440</v>
      </c>
      <c r="O17" s="6">
        <f>M17*$S$3/100</f>
        <v>5600</v>
      </c>
      <c r="P17" s="6">
        <f>M17+N17-O17</f>
        <v>119840</v>
      </c>
      <c r="Q17" s="3"/>
      <c r="R17" s="3"/>
      <c r="S17" s="3"/>
      <c r="T17" s="3"/>
    </row>
    <row r="18" spans="1:20" ht="15.6" x14ac:dyDescent="0.3">
      <c r="A18" s="6" t="s">
        <v>83</v>
      </c>
      <c r="B18" s="6" t="s">
        <v>84</v>
      </c>
      <c r="C18" s="6" t="s">
        <v>75</v>
      </c>
      <c r="D18" s="6" t="s">
        <v>38</v>
      </c>
      <c r="E18" s="6">
        <v>18000</v>
      </c>
      <c r="F18" s="6">
        <v>7</v>
      </c>
      <c r="G18" s="6">
        <v>5</v>
      </c>
      <c r="H18" s="6">
        <v>3</v>
      </c>
      <c r="I18" s="6">
        <v>31</v>
      </c>
      <c r="J18" s="6">
        <f>SUM(F18:I18)</f>
        <v>46</v>
      </c>
      <c r="K18" s="6">
        <f>MAX(F18:I18)</f>
        <v>31</v>
      </c>
      <c r="L18" s="6">
        <f>MIN(F18:I18)</f>
        <v>3</v>
      </c>
      <c r="M18" s="6">
        <f>J18*E18</f>
        <v>828000</v>
      </c>
      <c r="N18" s="6">
        <f>M18*$R$3/100</f>
        <v>99360</v>
      </c>
      <c r="O18" s="6">
        <f>M18*$S$3/100</f>
        <v>41400</v>
      </c>
      <c r="P18" s="6">
        <f>M18+N18-O18</f>
        <v>885960</v>
      </c>
      <c r="Q18" s="3"/>
      <c r="R18" s="3"/>
      <c r="S18" s="3"/>
      <c r="T18" s="3"/>
    </row>
    <row r="19" spans="1:20" ht="30.6" x14ac:dyDescent="0.3">
      <c r="A19" s="6" t="s">
        <v>78</v>
      </c>
      <c r="B19" s="6" t="s">
        <v>79</v>
      </c>
      <c r="C19" s="6" t="s">
        <v>80</v>
      </c>
      <c r="D19" s="6" t="s">
        <v>39</v>
      </c>
      <c r="E19" s="6">
        <v>17000</v>
      </c>
      <c r="F19" s="6">
        <v>6</v>
      </c>
      <c r="G19" s="6">
        <v>1</v>
      </c>
      <c r="H19" s="6">
        <v>8</v>
      </c>
      <c r="I19" s="6">
        <v>6</v>
      </c>
      <c r="J19" s="6">
        <f>SUM(F19:I19)</f>
        <v>21</v>
      </c>
      <c r="K19" s="6">
        <f>MAX(F19:I19)</f>
        <v>8</v>
      </c>
      <c r="L19" s="6">
        <f>MIN(F19:I19)</f>
        <v>1</v>
      </c>
      <c r="M19" s="6">
        <f>J19*E19</f>
        <v>357000</v>
      </c>
      <c r="N19" s="6">
        <f>M19*$R$3/100</f>
        <v>42840</v>
      </c>
      <c r="O19" s="6">
        <f>M19*$S$3/100</f>
        <v>17850</v>
      </c>
      <c r="P19" s="6">
        <f>M19+N19-O19</f>
        <v>381990</v>
      </c>
      <c r="Q19" s="3"/>
      <c r="R19" s="3"/>
      <c r="S19" s="3"/>
      <c r="T19" s="3"/>
    </row>
    <row r="20" spans="1:20" ht="15.6" x14ac:dyDescent="0.3">
      <c r="A20" s="6" t="s">
        <v>87</v>
      </c>
      <c r="B20" s="6" t="s">
        <v>88</v>
      </c>
      <c r="C20" s="6" t="s">
        <v>80</v>
      </c>
      <c r="D20" s="6" t="s">
        <v>38</v>
      </c>
      <c r="E20" s="6">
        <v>3000</v>
      </c>
      <c r="F20" s="6">
        <v>0</v>
      </c>
      <c r="G20" s="6">
        <v>2</v>
      </c>
      <c r="H20" s="6">
        <v>7</v>
      </c>
      <c r="I20" s="6">
        <v>5</v>
      </c>
      <c r="J20" s="6">
        <f>SUM(F20:I20)</f>
        <v>14</v>
      </c>
      <c r="K20" s="6">
        <f>MAX(F20:I20)</f>
        <v>7</v>
      </c>
      <c r="L20" s="6">
        <f>MIN(F20:I20)</f>
        <v>0</v>
      </c>
      <c r="M20" s="6">
        <f>J20*E20</f>
        <v>42000</v>
      </c>
      <c r="N20" s="6">
        <f>M20*$R$3/100</f>
        <v>5040</v>
      </c>
      <c r="O20" s="6">
        <f>M20*$S$3/100</f>
        <v>2100</v>
      </c>
      <c r="P20" s="6">
        <f>M20+N20-O20</f>
        <v>44940</v>
      </c>
      <c r="Q20" s="3"/>
      <c r="R20" s="3"/>
      <c r="S20" s="3"/>
      <c r="T20" s="3"/>
    </row>
    <row r="21" spans="1:20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30" spans="1:20" x14ac:dyDescent="0.3">
      <c r="C30" s="16"/>
    </row>
    <row r="32" spans="1:20" x14ac:dyDescent="0.3">
      <c r="E32" s="16"/>
    </row>
    <row r="33" spans="5:5" x14ac:dyDescent="0.3">
      <c r="E33" s="16"/>
    </row>
    <row r="34" spans="5:5" x14ac:dyDescent="0.3">
      <c r="E34" s="16"/>
    </row>
    <row r="35" spans="5:5" x14ac:dyDescent="0.3">
      <c r="E35" s="16"/>
    </row>
    <row r="36" spans="5:5" x14ac:dyDescent="0.3">
      <c r="E36" s="16"/>
    </row>
    <row r="37" spans="5:5" x14ac:dyDescent="0.3">
      <c r="E37" s="16"/>
    </row>
    <row r="38" spans="5:5" x14ac:dyDescent="0.3">
      <c r="E38" s="16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zoomScale="130" zoomScaleNormal="130" workbookViewId="0">
      <selection activeCell="H2" sqref="H2"/>
    </sheetView>
  </sheetViews>
  <sheetFormatPr defaultRowHeight="14.4" x14ac:dyDescent="0.3"/>
  <cols>
    <col min="1" max="1" width="9.88671875" customWidth="1"/>
    <col min="2" max="2" width="31" customWidth="1"/>
    <col min="3" max="3" width="12.88671875" customWidth="1"/>
    <col min="4" max="4" width="12.5546875" customWidth="1"/>
    <col min="5" max="5" width="12.44140625" customWidth="1"/>
    <col min="6" max="6" width="7.44140625" customWidth="1"/>
  </cols>
  <sheetData>
    <row r="1" spans="1:6" ht="23.4" x14ac:dyDescent="0.45">
      <c r="A1" s="17" t="s">
        <v>36</v>
      </c>
      <c r="B1" s="17"/>
      <c r="C1" s="17"/>
      <c r="D1" s="17"/>
      <c r="E1" s="17"/>
      <c r="F1" s="17"/>
    </row>
    <row r="2" spans="1:6" ht="45.6" x14ac:dyDescent="0.3">
      <c r="A2" s="2" t="s">
        <v>2</v>
      </c>
      <c r="B2" s="2" t="s">
        <v>0</v>
      </c>
      <c r="C2" s="2" t="s">
        <v>15</v>
      </c>
      <c r="D2" s="2" t="s">
        <v>37</v>
      </c>
      <c r="E2" s="2" t="s">
        <v>1</v>
      </c>
      <c r="F2" s="2" t="s">
        <v>28</v>
      </c>
    </row>
    <row r="3" spans="1:6" ht="15.6" x14ac:dyDescent="0.3">
      <c r="A3" s="6" t="s">
        <v>22</v>
      </c>
      <c r="B3" s="6" t="s">
        <v>4</v>
      </c>
      <c r="C3" s="6" t="s">
        <v>17</v>
      </c>
      <c r="D3" s="6" t="s">
        <v>38</v>
      </c>
      <c r="E3" s="6">
        <v>1100</v>
      </c>
      <c r="F3" s="6">
        <v>6</v>
      </c>
    </row>
    <row r="4" spans="1:6" ht="15.6" x14ac:dyDescent="0.3">
      <c r="A4" s="6" t="s">
        <v>19</v>
      </c>
      <c r="B4" s="6" t="s">
        <v>5</v>
      </c>
      <c r="C4" s="6" t="s">
        <v>17</v>
      </c>
      <c r="D4" s="6" t="s">
        <v>39</v>
      </c>
      <c r="E4" s="6">
        <v>1200</v>
      </c>
      <c r="F4" s="6">
        <v>7</v>
      </c>
    </row>
    <row r="5" spans="1:6" ht="15.6" x14ac:dyDescent="0.3">
      <c r="A5" s="6" t="s">
        <v>20</v>
      </c>
      <c r="B5" s="6" t="s">
        <v>6</v>
      </c>
      <c r="C5" s="6" t="s">
        <v>17</v>
      </c>
      <c r="D5" s="6" t="s">
        <v>38</v>
      </c>
      <c r="E5" s="6">
        <v>1500</v>
      </c>
      <c r="F5" s="6">
        <v>9</v>
      </c>
    </row>
    <row r="6" spans="1:6" ht="15.6" x14ac:dyDescent="0.3">
      <c r="A6" s="6" t="s">
        <v>21</v>
      </c>
      <c r="B6" s="6" t="s">
        <v>3</v>
      </c>
      <c r="C6" s="6" t="s">
        <v>16</v>
      </c>
      <c r="D6" s="6" t="s">
        <v>39</v>
      </c>
      <c r="E6" s="6">
        <v>8000</v>
      </c>
      <c r="F6" s="6">
        <v>7</v>
      </c>
    </row>
    <row r="7" spans="1:6" ht="15.6" x14ac:dyDescent="0.3">
      <c r="A7" s="6" t="s">
        <v>27</v>
      </c>
      <c r="B7" s="6" t="s">
        <v>11</v>
      </c>
      <c r="C7" s="6" t="s">
        <v>16</v>
      </c>
      <c r="D7" s="6" t="s">
        <v>39</v>
      </c>
      <c r="E7" s="6">
        <v>45000</v>
      </c>
      <c r="F7" s="6">
        <v>3</v>
      </c>
    </row>
    <row r="8" spans="1:6" ht="15.6" x14ac:dyDescent="0.3">
      <c r="A8" s="6" t="s">
        <v>24</v>
      </c>
      <c r="B8" s="6" t="s">
        <v>8</v>
      </c>
      <c r="C8" s="6" t="s">
        <v>16</v>
      </c>
      <c r="D8" s="6" t="s">
        <v>38</v>
      </c>
      <c r="E8" s="6">
        <v>81000</v>
      </c>
      <c r="F8" s="6">
        <v>3</v>
      </c>
    </row>
    <row r="9" spans="1:6" ht="15.6" x14ac:dyDescent="0.3">
      <c r="A9" s="6" t="s">
        <v>23</v>
      </c>
      <c r="B9" s="6" t="s">
        <v>7</v>
      </c>
      <c r="C9" s="6" t="s">
        <v>16</v>
      </c>
      <c r="D9" s="6" t="s">
        <v>38</v>
      </c>
      <c r="E9" s="6">
        <v>98000</v>
      </c>
      <c r="F9" s="6">
        <v>4</v>
      </c>
    </row>
    <row r="10" spans="1:6" ht="15.6" x14ac:dyDescent="0.3">
      <c r="A10" s="6" t="s">
        <v>25</v>
      </c>
      <c r="B10" s="6" t="s">
        <v>9</v>
      </c>
      <c r="C10" s="6" t="s">
        <v>18</v>
      </c>
      <c r="D10" s="6" t="s">
        <v>39</v>
      </c>
      <c r="E10" s="6">
        <v>5900</v>
      </c>
      <c r="F10" s="6">
        <v>6</v>
      </c>
    </row>
    <row r="11" spans="1:6" ht="15.6" x14ac:dyDescent="0.3">
      <c r="A11" s="3"/>
      <c r="B11" s="3"/>
      <c r="C11" s="3"/>
      <c r="D11" s="3"/>
      <c r="E11" s="3"/>
      <c r="F11" s="3"/>
    </row>
    <row r="12" spans="1:6" ht="15.6" x14ac:dyDescent="0.3">
      <c r="A12" s="3"/>
      <c r="B12" s="3"/>
      <c r="C12" s="3"/>
      <c r="D12" s="3"/>
      <c r="E12" s="3"/>
      <c r="F12" s="3"/>
    </row>
    <row r="13" spans="1:6" ht="15.6" x14ac:dyDescent="0.3">
      <c r="A13" s="3"/>
      <c r="B13" s="3"/>
      <c r="C13" s="3"/>
      <c r="D13" s="3"/>
      <c r="E13" s="3"/>
      <c r="F13" s="3"/>
    </row>
    <row r="14" spans="1:6" ht="15.6" x14ac:dyDescent="0.3">
      <c r="A14" s="3"/>
      <c r="B14" s="3"/>
      <c r="C14" s="3"/>
      <c r="D14" s="3"/>
      <c r="E14" s="3"/>
      <c r="F14" s="3"/>
    </row>
    <row r="15" spans="1:6" ht="15.6" x14ac:dyDescent="0.3">
      <c r="A15" s="3"/>
      <c r="B15" s="3"/>
      <c r="C15" s="3"/>
      <c r="D15" s="3"/>
      <c r="E15" s="3"/>
      <c r="F15" s="3"/>
    </row>
    <row r="16" spans="1:6" ht="15.6" x14ac:dyDescent="0.3">
      <c r="A16" s="3"/>
      <c r="B16" s="3"/>
      <c r="C16" s="3"/>
      <c r="D16" s="3"/>
      <c r="E16" s="3"/>
      <c r="F16" s="3"/>
    </row>
    <row r="17" spans="1:6" ht="15.6" x14ac:dyDescent="0.3">
      <c r="A17" s="3"/>
      <c r="B17" s="3"/>
      <c r="C17" s="3"/>
      <c r="D17" s="3"/>
      <c r="E17" s="3"/>
      <c r="F17" s="3"/>
    </row>
    <row r="18" spans="1:6" ht="15.6" x14ac:dyDescent="0.3">
      <c r="A18" s="3"/>
      <c r="B18" s="3"/>
      <c r="C18" s="3"/>
      <c r="D18" s="3"/>
      <c r="E18" s="3"/>
      <c r="F18" s="3"/>
    </row>
    <row r="19" spans="1:6" ht="15.6" x14ac:dyDescent="0.3">
      <c r="A19" s="3"/>
      <c r="B19" s="3"/>
      <c r="C19" s="3"/>
      <c r="D19" s="3"/>
      <c r="E19" s="3"/>
      <c r="F19" s="3"/>
    </row>
    <row r="20" spans="1:6" ht="15.6" x14ac:dyDescent="0.3">
      <c r="A20" s="3"/>
      <c r="B20" s="3"/>
      <c r="C20" s="3"/>
      <c r="D20" s="3"/>
      <c r="E20" s="3"/>
      <c r="F20" s="3"/>
    </row>
    <row r="21" spans="1:6" ht="15.6" x14ac:dyDescent="0.3">
      <c r="A21" s="3"/>
      <c r="B21" s="3"/>
      <c r="C21" s="3"/>
      <c r="D21" s="3"/>
      <c r="E21" s="3"/>
      <c r="F21" s="3"/>
    </row>
    <row r="22" spans="1:6" ht="15.6" x14ac:dyDescent="0.3">
      <c r="A22" s="3"/>
      <c r="B22" s="3"/>
      <c r="C22" s="3"/>
      <c r="D22" s="3"/>
      <c r="E22" s="3"/>
      <c r="F22" s="3"/>
    </row>
    <row r="23" spans="1:6" ht="15.6" x14ac:dyDescent="0.3">
      <c r="A23" s="3"/>
      <c r="B23" s="3"/>
      <c r="C23" s="3"/>
      <c r="D23" s="3"/>
      <c r="E23" s="3"/>
      <c r="F23" s="3"/>
    </row>
    <row r="24" spans="1:6" ht="15.6" x14ac:dyDescent="0.3">
      <c r="A24" s="3"/>
      <c r="B24" s="3"/>
      <c r="C24" s="3"/>
      <c r="D24" s="3"/>
      <c r="E24" s="3"/>
      <c r="F24" s="3"/>
    </row>
    <row r="25" spans="1:6" ht="15.6" x14ac:dyDescent="0.3">
      <c r="A25" s="3"/>
      <c r="B25" s="3"/>
      <c r="C25" s="3"/>
      <c r="D25" s="3"/>
      <c r="E25" s="3"/>
      <c r="F25" s="3"/>
    </row>
    <row r="26" spans="1:6" ht="15.6" x14ac:dyDescent="0.3">
      <c r="A26" s="3"/>
      <c r="B26" s="3"/>
      <c r="C26" s="3"/>
      <c r="D26" s="3"/>
      <c r="E26" s="3"/>
      <c r="F26" s="3"/>
    </row>
    <row r="27" spans="1:6" ht="15.6" x14ac:dyDescent="0.3">
      <c r="A27" s="3"/>
      <c r="B27" s="3"/>
      <c r="C27" s="3"/>
      <c r="D27" s="3"/>
      <c r="E27" s="3"/>
      <c r="F27" s="3"/>
    </row>
    <row r="28" spans="1:6" ht="15.6" x14ac:dyDescent="0.3">
      <c r="A28" s="3"/>
      <c r="B28" s="3"/>
      <c r="C28" s="3"/>
      <c r="D28" s="3"/>
      <c r="E28" s="3"/>
      <c r="F28" s="3"/>
    </row>
    <row r="29" spans="1:6" ht="15.6" x14ac:dyDescent="0.3">
      <c r="A29" s="3"/>
      <c r="B29" s="3"/>
      <c r="C29" s="3"/>
      <c r="D29" s="3"/>
      <c r="E29" s="3"/>
      <c r="F29" s="3"/>
    </row>
    <row r="30" spans="1:6" ht="15.6" x14ac:dyDescent="0.3">
      <c r="A30" s="3"/>
      <c r="B30" s="3"/>
      <c r="C30" s="3"/>
      <c r="D30" s="3"/>
      <c r="E30" s="3"/>
      <c r="F30" s="3"/>
    </row>
    <row r="31" spans="1:6" ht="15.6" x14ac:dyDescent="0.3">
      <c r="A31" s="3"/>
      <c r="B31" s="3"/>
      <c r="C31" s="3"/>
      <c r="D31" s="3"/>
      <c r="E31" s="3"/>
      <c r="F31" s="3"/>
    </row>
    <row r="32" spans="1:6" ht="15.6" x14ac:dyDescent="0.3">
      <c r="A32" s="3"/>
      <c r="B32" s="3"/>
      <c r="C32" s="3"/>
      <c r="D32" s="3"/>
      <c r="E32" s="3"/>
      <c r="F32" s="3"/>
    </row>
    <row r="33" spans="1:6" ht="15.6" x14ac:dyDescent="0.3">
      <c r="A33" s="3"/>
      <c r="B33" s="3"/>
      <c r="C33" s="3"/>
      <c r="D33" s="3"/>
      <c r="E33" s="3"/>
      <c r="F33" s="3"/>
    </row>
    <row r="34" spans="1:6" ht="15.6" x14ac:dyDescent="0.3">
      <c r="A34" s="3"/>
      <c r="B34" s="3"/>
      <c r="C34" s="3"/>
      <c r="D34" s="3"/>
      <c r="E34" s="3"/>
      <c r="F34" s="3"/>
    </row>
    <row r="35" spans="1:6" ht="15.6" x14ac:dyDescent="0.3">
      <c r="A35" s="3"/>
      <c r="B35" s="3"/>
      <c r="C35" s="3"/>
      <c r="D35" s="3"/>
      <c r="E35" s="3"/>
      <c r="F35" s="3"/>
    </row>
    <row r="36" spans="1:6" ht="15.6" x14ac:dyDescent="0.3">
      <c r="A36" s="3"/>
      <c r="B36" s="3"/>
      <c r="C36" s="3"/>
      <c r="D36" s="3"/>
      <c r="E36" s="3"/>
      <c r="F36" s="3"/>
    </row>
    <row r="37" spans="1:6" ht="15.6" x14ac:dyDescent="0.3">
      <c r="A37" s="3"/>
      <c r="B37" s="3"/>
      <c r="C37" s="3"/>
      <c r="D37" s="3"/>
      <c r="E37" s="3"/>
      <c r="F37" s="3"/>
    </row>
  </sheetData>
  <dataConsolidate>
    <dataRefs count="4">
      <dataRef ref="F3:F21" sheet="2_ Demo Consol-1"/>
      <dataRef ref="F3:F18" sheet="2_Demo Consol-2"/>
      <dataRef ref="F3:F18" sheet="2_Demo Consol-3"/>
      <dataRef ref="F3:F21" sheet="2_Demo Consol-4"/>
    </dataRefs>
  </dataConsolidate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"/>
  <sheetViews>
    <sheetView zoomScale="130" zoomScaleNormal="130" workbookViewId="0">
      <selection activeCell="F14" sqref="F14"/>
    </sheetView>
  </sheetViews>
  <sheetFormatPr defaultRowHeight="14.4" x14ac:dyDescent="0.3"/>
  <cols>
    <col min="1" max="1" width="9.88671875" customWidth="1"/>
    <col min="2" max="2" width="31" customWidth="1"/>
    <col min="3" max="3" width="12.88671875" customWidth="1"/>
    <col min="4" max="4" width="12.5546875" customWidth="1"/>
    <col min="5" max="5" width="12.44140625" customWidth="1"/>
    <col min="6" max="6" width="6.44140625" customWidth="1"/>
  </cols>
  <sheetData>
    <row r="1" spans="1:7" ht="23.4" x14ac:dyDescent="0.45">
      <c r="A1" s="17" t="s">
        <v>36</v>
      </c>
      <c r="B1" s="17"/>
      <c r="C1" s="17"/>
      <c r="D1" s="17"/>
      <c r="E1" s="17"/>
      <c r="F1" s="17"/>
      <c r="G1" s="17"/>
    </row>
    <row r="2" spans="1:7" ht="68.25" customHeight="1" x14ac:dyDescent="0.3">
      <c r="A2" s="2" t="s">
        <v>2</v>
      </c>
      <c r="B2" s="2" t="s">
        <v>0</v>
      </c>
      <c r="C2" s="2" t="s">
        <v>15</v>
      </c>
      <c r="D2" s="2" t="s">
        <v>37</v>
      </c>
      <c r="E2" s="2" t="s">
        <v>1</v>
      </c>
      <c r="F2" s="2" t="s">
        <v>33</v>
      </c>
      <c r="G2" s="3"/>
    </row>
    <row r="3" spans="1:7" ht="15.6" x14ac:dyDescent="0.3">
      <c r="A3" s="6" t="s">
        <v>22</v>
      </c>
      <c r="B3" s="6" t="s">
        <v>4</v>
      </c>
      <c r="C3" s="6" t="s">
        <v>17</v>
      </c>
      <c r="D3" s="6" t="s">
        <v>38</v>
      </c>
      <c r="E3" s="6">
        <v>1100</v>
      </c>
      <c r="F3" s="6">
        <v>8</v>
      </c>
      <c r="G3" s="3"/>
    </row>
    <row r="4" spans="1:7" ht="15.6" x14ac:dyDescent="0.3">
      <c r="A4" s="6" t="s">
        <v>19</v>
      </c>
      <c r="B4" s="6" t="s">
        <v>5</v>
      </c>
      <c r="C4" s="6" t="s">
        <v>17</v>
      </c>
      <c r="D4" s="6" t="s">
        <v>39</v>
      </c>
      <c r="E4" s="6">
        <v>1200</v>
      </c>
      <c r="F4" s="6">
        <v>7</v>
      </c>
      <c r="G4" s="3"/>
    </row>
    <row r="5" spans="1:7" ht="15.6" x14ac:dyDescent="0.3">
      <c r="A5" s="6" t="s">
        <v>20</v>
      </c>
      <c r="B5" s="6" t="s">
        <v>6</v>
      </c>
      <c r="C5" s="6" t="s">
        <v>17</v>
      </c>
      <c r="D5" s="6" t="s">
        <v>38</v>
      </c>
      <c r="E5" s="6">
        <v>1500</v>
      </c>
      <c r="F5" s="6">
        <v>6</v>
      </c>
      <c r="G5" s="3"/>
    </row>
    <row r="6" spans="1:7" ht="15.6" x14ac:dyDescent="0.3">
      <c r="A6" s="6" t="s">
        <v>21</v>
      </c>
      <c r="B6" s="6" t="s">
        <v>3</v>
      </c>
      <c r="C6" s="6" t="s">
        <v>16</v>
      </c>
      <c r="D6" s="6" t="s">
        <v>39</v>
      </c>
      <c r="E6" s="6">
        <v>8000</v>
      </c>
      <c r="F6" s="6">
        <v>4</v>
      </c>
      <c r="G6" s="3"/>
    </row>
    <row r="7" spans="1:7" ht="15.6" x14ac:dyDescent="0.3">
      <c r="A7" s="6" t="s">
        <v>27</v>
      </c>
      <c r="B7" s="6" t="s">
        <v>11</v>
      </c>
      <c r="C7" s="6" t="s">
        <v>16</v>
      </c>
      <c r="D7" s="6" t="s">
        <v>39</v>
      </c>
      <c r="E7" s="6">
        <v>45000</v>
      </c>
      <c r="F7" s="6">
        <v>0</v>
      </c>
      <c r="G7" s="3"/>
    </row>
    <row r="8" spans="1:7" ht="15.6" x14ac:dyDescent="0.3">
      <c r="A8" s="6" t="s">
        <v>24</v>
      </c>
      <c r="B8" s="6" t="s">
        <v>8</v>
      </c>
      <c r="C8" s="6" t="s">
        <v>16</v>
      </c>
      <c r="D8" s="6" t="s">
        <v>38</v>
      </c>
      <c r="E8" s="6">
        <v>81000</v>
      </c>
      <c r="F8" s="6">
        <v>3</v>
      </c>
      <c r="G8" s="3"/>
    </row>
    <row r="9" spans="1:7" ht="15.6" x14ac:dyDescent="0.3">
      <c r="A9" s="6" t="s">
        <v>23</v>
      </c>
      <c r="B9" s="6" t="s">
        <v>7</v>
      </c>
      <c r="C9" s="6" t="s">
        <v>16</v>
      </c>
      <c r="D9" s="6" t="s">
        <v>38</v>
      </c>
      <c r="E9" s="6">
        <v>98000</v>
      </c>
      <c r="F9" s="6">
        <v>9</v>
      </c>
      <c r="G9" s="3"/>
    </row>
    <row r="10" spans="1:7" ht="15.6" x14ac:dyDescent="0.3">
      <c r="A10" s="6" t="s">
        <v>25</v>
      </c>
      <c r="B10" s="6" t="s">
        <v>9</v>
      </c>
      <c r="C10" s="6" t="s">
        <v>18</v>
      </c>
      <c r="D10" s="6" t="s">
        <v>39</v>
      </c>
      <c r="E10" s="6">
        <v>5900</v>
      </c>
      <c r="F10" s="6">
        <v>4</v>
      </c>
      <c r="G10" s="3"/>
    </row>
    <row r="11" spans="1:7" ht="15.6" x14ac:dyDescent="0.3">
      <c r="A11" s="3"/>
      <c r="B11" s="3"/>
      <c r="C11" s="3"/>
      <c r="D11" s="3"/>
      <c r="E11" s="3"/>
      <c r="F11" s="3"/>
      <c r="G11" s="3"/>
    </row>
    <row r="12" spans="1:7" ht="15.6" x14ac:dyDescent="0.3">
      <c r="A12" s="3"/>
      <c r="B12" s="3"/>
      <c r="C12" s="3"/>
      <c r="D12" s="3"/>
      <c r="E12" s="3"/>
      <c r="F12" s="3"/>
      <c r="G12" s="3"/>
    </row>
    <row r="13" spans="1:7" ht="15.6" x14ac:dyDescent="0.3">
      <c r="A13" s="3"/>
      <c r="B13" s="3"/>
      <c r="C13" s="3"/>
      <c r="D13" s="3"/>
      <c r="E13" s="3"/>
      <c r="F13" s="3"/>
      <c r="G13" s="3"/>
    </row>
    <row r="14" spans="1:7" ht="15.6" x14ac:dyDescent="0.3">
      <c r="A14" s="3"/>
      <c r="B14" s="3"/>
      <c r="C14" s="3"/>
      <c r="D14" s="3"/>
      <c r="E14" s="3"/>
      <c r="F14" s="3"/>
      <c r="G14" s="3"/>
    </row>
    <row r="15" spans="1:7" ht="15.6" x14ac:dyDescent="0.3">
      <c r="A15" s="3"/>
      <c r="B15" s="3"/>
      <c r="C15" s="3"/>
      <c r="D15" s="3"/>
      <c r="E15" s="3"/>
      <c r="F15" s="3"/>
      <c r="G15" s="3"/>
    </row>
    <row r="16" spans="1:7" ht="15.6" x14ac:dyDescent="0.3">
      <c r="A16" s="3"/>
      <c r="B16" s="3"/>
      <c r="C16" s="3"/>
      <c r="D16" s="3"/>
      <c r="E16" s="3"/>
      <c r="F16" s="3"/>
      <c r="G16" s="3"/>
    </row>
    <row r="17" spans="1:7" ht="15.6" x14ac:dyDescent="0.3">
      <c r="A17" s="3"/>
      <c r="B17" s="3"/>
      <c r="C17" s="3"/>
      <c r="D17" s="3"/>
      <c r="E17" s="3"/>
      <c r="F17" s="3"/>
      <c r="G17" s="3"/>
    </row>
    <row r="18" spans="1:7" ht="15.6" x14ac:dyDescent="0.3">
      <c r="A18" s="3"/>
      <c r="B18" s="3"/>
      <c r="C18" s="3"/>
      <c r="D18" s="3"/>
      <c r="E18" s="3"/>
      <c r="F18" s="3"/>
      <c r="G18" s="3"/>
    </row>
    <row r="19" spans="1:7" ht="15.6" x14ac:dyDescent="0.3">
      <c r="A19" s="3"/>
      <c r="B19" s="3"/>
      <c r="C19" s="3"/>
      <c r="D19" s="3"/>
      <c r="E19" s="3"/>
      <c r="F19" s="3"/>
      <c r="G19" s="3"/>
    </row>
    <row r="20" spans="1:7" ht="15.6" x14ac:dyDescent="0.3">
      <c r="A20" s="3"/>
      <c r="B20" s="3"/>
      <c r="C20" s="3"/>
      <c r="D20" s="3"/>
      <c r="E20" s="3"/>
      <c r="F20" s="3"/>
      <c r="G20" s="3"/>
    </row>
    <row r="21" spans="1:7" ht="15.6" x14ac:dyDescent="0.3">
      <c r="A21" s="3"/>
      <c r="B21" s="3"/>
      <c r="C21" s="3"/>
      <c r="D21" s="3"/>
      <c r="E21" s="3"/>
      <c r="F21" s="3"/>
      <c r="G21" s="3"/>
    </row>
    <row r="22" spans="1:7" ht="15.6" x14ac:dyDescent="0.3">
      <c r="A22" s="3"/>
      <c r="B22" s="3"/>
      <c r="C22" s="3"/>
      <c r="D22" s="3"/>
      <c r="E22" s="3"/>
      <c r="F22" s="3"/>
      <c r="G22" s="3"/>
    </row>
    <row r="23" spans="1:7" ht="15.6" x14ac:dyDescent="0.3">
      <c r="A23" s="3"/>
      <c r="B23" s="3"/>
      <c r="C23" s="3"/>
      <c r="D23" s="3"/>
      <c r="E23" s="3"/>
      <c r="F23" s="3"/>
      <c r="G23" s="3"/>
    </row>
    <row r="24" spans="1:7" ht="15.6" x14ac:dyDescent="0.3">
      <c r="A24" s="3"/>
      <c r="B24" s="3"/>
      <c r="C24" s="3"/>
      <c r="D24" s="3"/>
      <c r="E24" s="3"/>
      <c r="F24" s="3"/>
      <c r="G24" s="3"/>
    </row>
    <row r="25" spans="1:7" ht="15.6" x14ac:dyDescent="0.3">
      <c r="A25" s="3"/>
      <c r="B25" s="3"/>
      <c r="C25" s="3"/>
      <c r="D25" s="3"/>
      <c r="E25" s="3"/>
      <c r="F25" s="3"/>
      <c r="G25" s="3"/>
    </row>
    <row r="26" spans="1:7" ht="15.6" x14ac:dyDescent="0.3">
      <c r="A26" s="3"/>
      <c r="B26" s="3"/>
      <c r="C26" s="3"/>
      <c r="D26" s="3"/>
      <c r="E26" s="3"/>
      <c r="F26" s="3"/>
      <c r="G26" s="3"/>
    </row>
    <row r="27" spans="1:7" ht="15.6" x14ac:dyDescent="0.3">
      <c r="A27" s="3"/>
      <c r="B27" s="3"/>
      <c r="C27" s="3"/>
      <c r="D27" s="3"/>
      <c r="E27" s="3"/>
      <c r="F27" s="3"/>
      <c r="G27" s="3"/>
    </row>
    <row r="28" spans="1:7" ht="15.6" x14ac:dyDescent="0.3">
      <c r="A28" s="3"/>
      <c r="B28" s="3"/>
      <c r="C28" s="3"/>
      <c r="D28" s="3"/>
      <c r="E28" s="3"/>
      <c r="F28" s="3"/>
      <c r="G28" s="3"/>
    </row>
    <row r="29" spans="1:7" ht="15.6" x14ac:dyDescent="0.3">
      <c r="A29" s="3"/>
      <c r="B29" s="3"/>
      <c r="C29" s="3"/>
      <c r="D29" s="3"/>
      <c r="E29" s="3"/>
      <c r="F29" s="3"/>
      <c r="G29" s="3"/>
    </row>
    <row r="30" spans="1:7" ht="15.6" x14ac:dyDescent="0.3">
      <c r="A30" s="3"/>
      <c r="B30" s="3"/>
      <c r="C30" s="3"/>
      <c r="D30" s="3"/>
      <c r="E30" s="3"/>
      <c r="F30" s="3"/>
      <c r="G30" s="3"/>
    </row>
    <row r="31" spans="1:7" ht="15.6" x14ac:dyDescent="0.3">
      <c r="A31" s="3"/>
      <c r="B31" s="3"/>
      <c r="C31" s="3"/>
      <c r="D31" s="3"/>
      <c r="E31" s="3"/>
      <c r="F31" s="3"/>
      <c r="G31" s="3"/>
    </row>
    <row r="32" spans="1:7" ht="15.6" x14ac:dyDescent="0.3">
      <c r="A32" s="3"/>
      <c r="B32" s="3"/>
      <c r="C32" s="3"/>
      <c r="D32" s="3"/>
      <c r="E32" s="3"/>
      <c r="F32" s="3"/>
      <c r="G32" s="3"/>
    </row>
    <row r="33" spans="1:7" ht="15.6" x14ac:dyDescent="0.3">
      <c r="A33" s="3"/>
      <c r="B33" s="3"/>
      <c r="C33" s="3"/>
      <c r="D33" s="3"/>
      <c r="E33" s="3"/>
      <c r="F33" s="3"/>
      <c r="G33" s="3"/>
    </row>
    <row r="34" spans="1:7" ht="15.6" x14ac:dyDescent="0.3">
      <c r="A34" s="3"/>
      <c r="B34" s="3"/>
      <c r="C34" s="3"/>
      <c r="D34" s="3"/>
      <c r="E34" s="3"/>
      <c r="F34" s="3"/>
      <c r="G34" s="3"/>
    </row>
    <row r="35" spans="1:7" ht="15.6" x14ac:dyDescent="0.3">
      <c r="A35" s="3"/>
      <c r="B35" s="3"/>
      <c r="C35" s="3"/>
      <c r="D35" s="3"/>
      <c r="E35" s="3"/>
      <c r="F35" s="3"/>
      <c r="G35" s="3"/>
    </row>
    <row r="36" spans="1:7" ht="15.6" x14ac:dyDescent="0.3">
      <c r="A36" s="3"/>
      <c r="B36" s="3"/>
      <c r="C36" s="3"/>
      <c r="D36" s="3"/>
      <c r="E36" s="3"/>
      <c r="F36" s="3"/>
      <c r="G36" s="3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ht="15.6" x14ac:dyDescent="0.3">
      <c r="A38" s="3"/>
      <c r="B38" s="3"/>
      <c r="C38" s="3"/>
      <c r="D38" s="3"/>
      <c r="E38" s="3"/>
      <c r="F38" s="3"/>
      <c r="G38" s="3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zoomScale="130" zoomScaleNormal="130" workbookViewId="0">
      <selection activeCell="H3" sqref="H3"/>
    </sheetView>
  </sheetViews>
  <sheetFormatPr defaultRowHeight="14.4" x14ac:dyDescent="0.3"/>
  <cols>
    <col min="1" max="1" width="9.88671875" customWidth="1"/>
    <col min="2" max="2" width="31" customWidth="1"/>
    <col min="3" max="3" width="12.88671875" customWidth="1"/>
    <col min="4" max="4" width="12.5546875" customWidth="1"/>
    <col min="5" max="5" width="12.44140625" customWidth="1"/>
    <col min="6" max="6" width="6.88671875" customWidth="1"/>
  </cols>
  <sheetData>
    <row r="1" spans="1:6" ht="23.4" x14ac:dyDescent="0.45">
      <c r="A1" s="17" t="s">
        <v>36</v>
      </c>
      <c r="B1" s="17"/>
      <c r="C1" s="17"/>
      <c r="D1" s="17"/>
      <c r="E1" s="17"/>
      <c r="F1" s="17"/>
    </row>
    <row r="2" spans="1:6" ht="57.75" customHeight="1" x14ac:dyDescent="0.3">
      <c r="A2" s="2" t="s">
        <v>2</v>
      </c>
      <c r="B2" s="2" t="s">
        <v>0</v>
      </c>
      <c r="C2" s="2" t="s">
        <v>15</v>
      </c>
      <c r="D2" s="2" t="s">
        <v>37</v>
      </c>
      <c r="E2" s="2" t="s">
        <v>1</v>
      </c>
      <c r="F2" s="2" t="s">
        <v>34</v>
      </c>
    </row>
    <row r="3" spans="1:6" ht="15.6" x14ac:dyDescent="0.3">
      <c r="A3" s="6" t="s">
        <v>22</v>
      </c>
      <c r="B3" s="6" t="s">
        <v>4</v>
      </c>
      <c r="C3" s="6" t="s">
        <v>17</v>
      </c>
      <c r="D3" s="6" t="s">
        <v>38</v>
      </c>
      <c r="E3" s="6">
        <v>1100</v>
      </c>
      <c r="F3" s="6">
        <v>6</v>
      </c>
    </row>
    <row r="4" spans="1:6" ht="15.6" x14ac:dyDescent="0.3">
      <c r="A4" s="6" t="s">
        <v>19</v>
      </c>
      <c r="B4" s="6" t="s">
        <v>5</v>
      </c>
      <c r="C4" s="6" t="s">
        <v>17</v>
      </c>
      <c r="D4" s="6" t="s">
        <v>39</v>
      </c>
      <c r="E4" s="6">
        <v>1200</v>
      </c>
      <c r="F4" s="6">
        <v>7</v>
      </c>
    </row>
    <row r="5" spans="1:6" ht="15.6" x14ac:dyDescent="0.3">
      <c r="A5" s="6" t="s">
        <v>20</v>
      </c>
      <c r="B5" s="6" t="s">
        <v>6</v>
      </c>
      <c r="C5" s="6" t="s">
        <v>17</v>
      </c>
      <c r="D5" s="6" t="s">
        <v>38</v>
      </c>
      <c r="E5" s="6">
        <v>1500</v>
      </c>
      <c r="F5" s="6">
        <v>9</v>
      </c>
    </row>
    <row r="6" spans="1:6" ht="15.6" x14ac:dyDescent="0.3">
      <c r="A6" s="6" t="s">
        <v>21</v>
      </c>
      <c r="B6" s="6" t="s">
        <v>3</v>
      </c>
      <c r="C6" s="6" t="s">
        <v>16</v>
      </c>
      <c r="D6" s="6" t="s">
        <v>39</v>
      </c>
      <c r="E6" s="6">
        <v>8000</v>
      </c>
      <c r="F6" s="6">
        <v>9</v>
      </c>
    </row>
    <row r="7" spans="1:6" ht="15.6" x14ac:dyDescent="0.3">
      <c r="A7" s="6" t="s">
        <v>27</v>
      </c>
      <c r="B7" s="6" t="s">
        <v>11</v>
      </c>
      <c r="C7" s="6" t="s">
        <v>16</v>
      </c>
      <c r="D7" s="6" t="s">
        <v>39</v>
      </c>
      <c r="E7" s="6">
        <v>45000</v>
      </c>
      <c r="F7" s="6">
        <v>9</v>
      </c>
    </row>
    <row r="8" spans="1:6" ht="15.6" x14ac:dyDescent="0.3">
      <c r="A8" s="6" t="s">
        <v>24</v>
      </c>
      <c r="B8" s="6" t="s">
        <v>8</v>
      </c>
      <c r="C8" s="6" t="s">
        <v>16</v>
      </c>
      <c r="D8" s="6" t="s">
        <v>38</v>
      </c>
      <c r="E8" s="6">
        <v>81000</v>
      </c>
      <c r="F8" s="6">
        <v>11</v>
      </c>
    </row>
    <row r="9" spans="1:6" ht="15.6" x14ac:dyDescent="0.3">
      <c r="A9" s="6" t="s">
        <v>23</v>
      </c>
      <c r="B9" s="6" t="s">
        <v>7</v>
      </c>
      <c r="C9" s="6" t="s">
        <v>16</v>
      </c>
      <c r="D9" s="6" t="s">
        <v>38</v>
      </c>
      <c r="E9" s="6">
        <v>98000</v>
      </c>
      <c r="F9" s="6">
        <v>5</v>
      </c>
    </row>
    <row r="10" spans="1:6" ht="15.6" x14ac:dyDescent="0.3">
      <c r="A10" s="6" t="s">
        <v>25</v>
      </c>
      <c r="B10" s="6" t="s">
        <v>9</v>
      </c>
      <c r="C10" s="6" t="s">
        <v>18</v>
      </c>
      <c r="D10" s="6" t="s">
        <v>39</v>
      </c>
      <c r="E10" s="6">
        <v>5900</v>
      </c>
      <c r="F10" s="6">
        <v>22</v>
      </c>
    </row>
    <row r="11" spans="1:6" ht="15.6" x14ac:dyDescent="0.3">
      <c r="A11" s="3"/>
      <c r="B11" s="3"/>
      <c r="C11" s="3"/>
      <c r="D11" s="3"/>
      <c r="E11" s="3"/>
      <c r="F11" s="3"/>
    </row>
    <row r="12" spans="1:6" ht="15.6" x14ac:dyDescent="0.3">
      <c r="A12" s="3"/>
      <c r="B12" s="3"/>
      <c r="C12" s="3"/>
      <c r="D12" s="3"/>
      <c r="E12" s="3"/>
      <c r="F12" s="3"/>
    </row>
    <row r="13" spans="1:6" ht="15.6" x14ac:dyDescent="0.3">
      <c r="A13" s="3"/>
      <c r="B13" s="3"/>
      <c r="C13" s="3"/>
      <c r="D13" s="3"/>
      <c r="E13" s="3"/>
      <c r="F13" s="3"/>
    </row>
    <row r="14" spans="1:6" ht="15.6" x14ac:dyDescent="0.3">
      <c r="A14" s="3"/>
      <c r="B14" s="3"/>
      <c r="C14" s="3"/>
      <c r="D14" s="3"/>
      <c r="E14" s="3"/>
      <c r="F14" s="3"/>
    </row>
    <row r="15" spans="1:6" ht="15.6" x14ac:dyDescent="0.3">
      <c r="A15" s="3"/>
      <c r="B15" s="3"/>
      <c r="C15" s="3"/>
      <c r="D15" s="3"/>
      <c r="E15" s="3"/>
      <c r="F15" s="3"/>
    </row>
    <row r="16" spans="1:6" ht="15.6" x14ac:dyDescent="0.3">
      <c r="A16" s="3"/>
      <c r="B16" s="3"/>
      <c r="C16" s="3"/>
      <c r="D16" s="3"/>
      <c r="E16" s="3"/>
      <c r="F16" s="3"/>
    </row>
    <row r="17" spans="1:6" ht="15.6" x14ac:dyDescent="0.3">
      <c r="A17" s="3"/>
      <c r="B17" s="3"/>
      <c r="C17" s="3"/>
      <c r="D17" s="3"/>
      <c r="E17" s="3"/>
      <c r="F17" s="3"/>
    </row>
    <row r="18" spans="1:6" ht="15.6" x14ac:dyDescent="0.3">
      <c r="A18" s="3"/>
      <c r="B18" s="3"/>
      <c r="C18" s="3"/>
      <c r="D18" s="3"/>
      <c r="E18" s="3"/>
      <c r="F18" s="3"/>
    </row>
    <row r="19" spans="1:6" ht="15.6" x14ac:dyDescent="0.3">
      <c r="A19" s="3"/>
      <c r="B19" s="3"/>
      <c r="C19" s="3"/>
      <c r="D19" s="3"/>
      <c r="E19" s="3"/>
      <c r="F19" s="3"/>
    </row>
    <row r="20" spans="1:6" ht="15.6" x14ac:dyDescent="0.3">
      <c r="A20" s="3"/>
      <c r="B20" s="3"/>
      <c r="C20" s="3"/>
      <c r="D20" s="3"/>
      <c r="E20" s="3"/>
      <c r="F20" s="3"/>
    </row>
    <row r="21" spans="1:6" ht="15.6" x14ac:dyDescent="0.3">
      <c r="A21" s="3"/>
      <c r="B21" s="3"/>
      <c r="C21" s="3"/>
      <c r="D21" s="3"/>
      <c r="E21" s="3"/>
      <c r="F21" s="3"/>
    </row>
    <row r="22" spans="1:6" ht="15.6" x14ac:dyDescent="0.3">
      <c r="A22" s="3"/>
      <c r="B22" s="3"/>
      <c r="C22" s="3"/>
      <c r="D22" s="3"/>
      <c r="E22" s="3"/>
      <c r="F22" s="3"/>
    </row>
    <row r="23" spans="1:6" ht="15.6" x14ac:dyDescent="0.3">
      <c r="A23" s="3"/>
      <c r="B23" s="3"/>
      <c r="C23" s="3"/>
      <c r="D23" s="3"/>
      <c r="E23" s="3"/>
      <c r="F23" s="3"/>
    </row>
    <row r="24" spans="1:6" ht="15.6" x14ac:dyDescent="0.3">
      <c r="A24" s="3"/>
      <c r="B24" s="3"/>
      <c r="C24" s="3"/>
      <c r="D24" s="3"/>
      <c r="E24" s="3"/>
      <c r="F24" s="3"/>
    </row>
    <row r="25" spans="1:6" ht="15.6" x14ac:dyDescent="0.3">
      <c r="A25" s="3"/>
      <c r="B25" s="3"/>
      <c r="C25" s="3"/>
      <c r="D25" s="3"/>
      <c r="E25" s="3"/>
      <c r="F25" s="3"/>
    </row>
    <row r="26" spans="1:6" ht="15.6" x14ac:dyDescent="0.3">
      <c r="A26" s="3"/>
      <c r="B26" s="3"/>
      <c r="C26" s="3"/>
      <c r="D26" s="3"/>
      <c r="E26" s="3"/>
      <c r="F26" s="3"/>
    </row>
    <row r="27" spans="1:6" ht="15.6" x14ac:dyDescent="0.3">
      <c r="A27" s="3"/>
      <c r="B27" s="3"/>
      <c r="C27" s="3"/>
      <c r="D27" s="3"/>
      <c r="E27" s="3"/>
      <c r="F27" s="3"/>
    </row>
    <row r="28" spans="1:6" ht="15.6" x14ac:dyDescent="0.3">
      <c r="A28" s="3"/>
      <c r="B28" s="3"/>
      <c r="C28" s="3"/>
      <c r="D28" s="3"/>
      <c r="E28" s="3"/>
      <c r="F28" s="3"/>
    </row>
    <row r="29" spans="1:6" ht="15.6" x14ac:dyDescent="0.3">
      <c r="A29" s="3"/>
      <c r="B29" s="3"/>
      <c r="C29" s="3"/>
      <c r="D29" s="3"/>
      <c r="E29" s="3"/>
      <c r="F29" s="3"/>
    </row>
    <row r="30" spans="1:6" ht="15.6" x14ac:dyDescent="0.3">
      <c r="A30" s="3"/>
      <c r="B30" s="3"/>
      <c r="C30" s="3"/>
      <c r="D30" s="3"/>
      <c r="E30" s="3"/>
      <c r="F30" s="3"/>
    </row>
    <row r="31" spans="1:6" ht="15.6" x14ac:dyDescent="0.3">
      <c r="A31" s="3"/>
      <c r="B31" s="3"/>
      <c r="C31" s="3"/>
      <c r="D31" s="3"/>
      <c r="E31" s="3"/>
      <c r="F31" s="3"/>
    </row>
    <row r="32" spans="1:6" ht="15.6" x14ac:dyDescent="0.3">
      <c r="A32" s="3"/>
      <c r="B32" s="3"/>
      <c r="C32" s="3"/>
      <c r="D32" s="3"/>
      <c r="E32" s="3"/>
      <c r="F32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zoomScale="130" zoomScaleNormal="130" workbookViewId="0">
      <selection activeCell="I6" sqref="I6"/>
    </sheetView>
  </sheetViews>
  <sheetFormatPr defaultRowHeight="14.4" x14ac:dyDescent="0.3"/>
  <cols>
    <col min="1" max="1" width="9.88671875" customWidth="1"/>
    <col min="2" max="2" width="31" customWidth="1"/>
    <col min="3" max="3" width="12.88671875" customWidth="1"/>
    <col min="4" max="4" width="12.5546875" customWidth="1"/>
    <col min="5" max="5" width="12.44140625" customWidth="1"/>
    <col min="6" max="6" width="6.33203125" customWidth="1"/>
  </cols>
  <sheetData>
    <row r="1" spans="1:7" ht="23.4" x14ac:dyDescent="0.45">
      <c r="A1" s="17" t="s">
        <v>36</v>
      </c>
      <c r="B1" s="17"/>
      <c r="C1" s="17"/>
      <c r="D1" s="17"/>
      <c r="E1" s="17"/>
      <c r="F1" s="17"/>
    </row>
    <row r="2" spans="1:7" ht="69" customHeight="1" x14ac:dyDescent="0.3">
      <c r="A2" s="2" t="s">
        <v>2</v>
      </c>
      <c r="B2" s="2" t="s">
        <v>0</v>
      </c>
      <c r="C2" s="2" t="s">
        <v>15</v>
      </c>
      <c r="D2" s="2" t="s">
        <v>37</v>
      </c>
      <c r="E2" s="2" t="s">
        <v>1</v>
      </c>
      <c r="F2" s="2" t="s">
        <v>35</v>
      </c>
      <c r="G2" s="3"/>
    </row>
    <row r="3" spans="1:7" ht="15.6" x14ac:dyDescent="0.3">
      <c r="A3" s="6" t="s">
        <v>22</v>
      </c>
      <c r="B3" s="6" t="s">
        <v>4</v>
      </c>
      <c r="C3" s="6" t="s">
        <v>17</v>
      </c>
      <c r="D3" s="6" t="s">
        <v>38</v>
      </c>
      <c r="E3" s="6">
        <v>1100</v>
      </c>
      <c r="F3" s="6">
        <v>8</v>
      </c>
      <c r="G3" s="3"/>
    </row>
    <row r="4" spans="1:7" ht="15.6" x14ac:dyDescent="0.3">
      <c r="A4" s="6" t="s">
        <v>19</v>
      </c>
      <c r="B4" s="6" t="s">
        <v>5</v>
      </c>
      <c r="C4" s="6" t="s">
        <v>17</v>
      </c>
      <c r="D4" s="6" t="s">
        <v>39</v>
      </c>
      <c r="E4" s="6">
        <v>1200</v>
      </c>
      <c r="F4" s="6">
        <v>6</v>
      </c>
      <c r="G4" s="3"/>
    </row>
    <row r="5" spans="1:7" ht="15.6" x14ac:dyDescent="0.3">
      <c r="A5" s="6" t="s">
        <v>20</v>
      </c>
      <c r="B5" s="6" t="s">
        <v>6</v>
      </c>
      <c r="C5" s="6" t="s">
        <v>17</v>
      </c>
      <c r="D5" s="6" t="s">
        <v>38</v>
      </c>
      <c r="E5" s="6">
        <v>1500</v>
      </c>
      <c r="F5" s="6">
        <v>2</v>
      </c>
      <c r="G5" s="3"/>
    </row>
    <row r="6" spans="1:7" ht="15.6" x14ac:dyDescent="0.3">
      <c r="A6" s="6" t="s">
        <v>21</v>
      </c>
      <c r="B6" s="6" t="s">
        <v>3</v>
      </c>
      <c r="C6" s="6" t="s">
        <v>16</v>
      </c>
      <c r="D6" s="6" t="s">
        <v>39</v>
      </c>
      <c r="E6" s="6">
        <v>8000</v>
      </c>
      <c r="F6" s="6">
        <v>5</v>
      </c>
      <c r="G6" s="3"/>
    </row>
    <row r="7" spans="1:7" ht="15.6" x14ac:dyDescent="0.3">
      <c r="A7" s="6" t="s">
        <v>27</v>
      </c>
      <c r="B7" s="6" t="s">
        <v>11</v>
      </c>
      <c r="C7" s="6" t="s">
        <v>16</v>
      </c>
      <c r="D7" s="6" t="s">
        <v>39</v>
      </c>
      <c r="E7" s="6">
        <v>45000</v>
      </c>
      <c r="F7" s="6">
        <v>7</v>
      </c>
      <c r="G7" s="3"/>
    </row>
    <row r="8" spans="1:7" ht="15.6" x14ac:dyDescent="0.3">
      <c r="A8" s="6" t="s">
        <v>24</v>
      </c>
      <c r="B8" s="6" t="s">
        <v>8</v>
      </c>
      <c r="C8" s="6" t="s">
        <v>16</v>
      </c>
      <c r="D8" s="6" t="s">
        <v>38</v>
      </c>
      <c r="E8" s="6">
        <v>81000</v>
      </c>
      <c r="F8" s="6">
        <v>11</v>
      </c>
      <c r="G8" s="3"/>
    </row>
    <row r="9" spans="1:7" ht="15.6" x14ac:dyDescent="0.3">
      <c r="A9" s="6" t="s">
        <v>23</v>
      </c>
      <c r="B9" s="6" t="s">
        <v>7</v>
      </c>
      <c r="C9" s="6" t="s">
        <v>16</v>
      </c>
      <c r="D9" s="6" t="s">
        <v>38</v>
      </c>
      <c r="E9" s="6">
        <v>98000</v>
      </c>
      <c r="F9" s="6">
        <v>9</v>
      </c>
      <c r="G9" s="3"/>
    </row>
    <row r="10" spans="1:7" ht="15.6" x14ac:dyDescent="0.3">
      <c r="A10" s="6" t="s">
        <v>25</v>
      </c>
      <c r="B10" s="6" t="s">
        <v>9</v>
      </c>
      <c r="C10" s="6" t="s">
        <v>18</v>
      </c>
      <c r="D10" s="6" t="s">
        <v>39</v>
      </c>
      <c r="E10" s="6">
        <v>5900</v>
      </c>
      <c r="F10" s="6">
        <v>24</v>
      </c>
      <c r="G10" s="3"/>
    </row>
    <row r="11" spans="1:7" ht="15.6" x14ac:dyDescent="0.3">
      <c r="A11" s="3"/>
      <c r="B11" s="3"/>
      <c r="C11" s="3"/>
      <c r="D11" s="3"/>
      <c r="E11" s="3"/>
      <c r="F11" s="3"/>
      <c r="G11" s="3"/>
    </row>
    <row r="12" spans="1:7" ht="15.6" x14ac:dyDescent="0.3">
      <c r="A12" s="3"/>
      <c r="B12" s="3"/>
      <c r="C12" s="3"/>
      <c r="D12" s="3"/>
      <c r="E12" s="3"/>
      <c r="F12" s="3"/>
      <c r="G12" s="3"/>
    </row>
    <row r="13" spans="1:7" ht="15.6" x14ac:dyDescent="0.3">
      <c r="A13" s="3"/>
      <c r="B13" s="3"/>
      <c r="C13" s="3"/>
      <c r="D13" s="3"/>
      <c r="E13" s="3"/>
      <c r="F13" s="3"/>
      <c r="G13" s="3"/>
    </row>
    <row r="14" spans="1:7" ht="15.6" x14ac:dyDescent="0.3">
      <c r="A14" s="3"/>
      <c r="B14" s="3"/>
      <c r="C14" s="3"/>
      <c r="D14" s="3"/>
      <c r="E14" s="3"/>
      <c r="F14" s="3"/>
      <c r="G14" s="3"/>
    </row>
    <row r="15" spans="1:7" ht="15.6" x14ac:dyDescent="0.3">
      <c r="A15" s="3"/>
      <c r="B15" s="3"/>
      <c r="C15" s="3"/>
      <c r="D15" s="3"/>
      <c r="E15" s="3"/>
      <c r="F15" s="3"/>
      <c r="G15" s="3"/>
    </row>
    <row r="16" spans="1:7" ht="15.6" x14ac:dyDescent="0.3">
      <c r="A16" s="3"/>
      <c r="B16" s="3"/>
      <c r="C16" s="3"/>
      <c r="D16" s="3"/>
      <c r="E16" s="3"/>
      <c r="F16" s="3"/>
      <c r="G16" s="3"/>
    </row>
    <row r="17" spans="1:7" ht="15.6" x14ac:dyDescent="0.3">
      <c r="A17" s="3"/>
      <c r="B17" s="3"/>
      <c r="C17" s="3"/>
      <c r="D17" s="3"/>
      <c r="E17" s="3"/>
      <c r="F17" s="3"/>
      <c r="G17" s="3"/>
    </row>
    <row r="18" spans="1:7" ht="15.6" x14ac:dyDescent="0.3">
      <c r="A18" s="3"/>
      <c r="B18" s="3"/>
      <c r="C18" s="3"/>
      <c r="D18" s="3"/>
      <c r="E18" s="3"/>
      <c r="F18" s="3"/>
      <c r="G18" s="3"/>
    </row>
    <row r="19" spans="1:7" ht="15.6" x14ac:dyDescent="0.3">
      <c r="A19" s="3"/>
      <c r="B19" s="3"/>
      <c r="C19" s="3"/>
      <c r="D19" s="3"/>
      <c r="E19" s="3"/>
      <c r="F19" s="3"/>
      <c r="G19" s="3"/>
    </row>
    <row r="20" spans="1:7" ht="15.6" x14ac:dyDescent="0.3">
      <c r="A20" s="3"/>
      <c r="B20" s="3"/>
      <c r="C20" s="3"/>
      <c r="D20" s="3"/>
      <c r="E20" s="3"/>
      <c r="F20" s="3"/>
      <c r="G20" s="3"/>
    </row>
    <row r="21" spans="1:7" ht="15.6" x14ac:dyDescent="0.3">
      <c r="A21" s="3"/>
      <c r="B21" s="3"/>
      <c r="C21" s="3"/>
      <c r="D21" s="3"/>
      <c r="E21" s="3"/>
      <c r="F21" s="3"/>
      <c r="G21" s="3"/>
    </row>
    <row r="22" spans="1:7" ht="15.6" x14ac:dyDescent="0.3">
      <c r="A22" s="3"/>
      <c r="B22" s="3"/>
      <c r="C22" s="3"/>
      <c r="D22" s="3"/>
      <c r="E22" s="3"/>
      <c r="F22" s="3"/>
      <c r="G22" s="3"/>
    </row>
    <row r="23" spans="1:7" ht="15.6" x14ac:dyDescent="0.3">
      <c r="A23" s="3"/>
      <c r="B23" s="3"/>
      <c r="C23" s="3"/>
      <c r="D23" s="3"/>
      <c r="E23" s="3"/>
      <c r="F23" s="3"/>
      <c r="G23" s="3"/>
    </row>
    <row r="24" spans="1:7" ht="15.6" x14ac:dyDescent="0.3">
      <c r="A24" s="3"/>
      <c r="B24" s="3"/>
      <c r="C24" s="3"/>
      <c r="D24" s="3"/>
      <c r="E24" s="3"/>
      <c r="F24" s="3"/>
      <c r="G24" s="3"/>
    </row>
    <row r="25" spans="1:7" ht="15.6" x14ac:dyDescent="0.3">
      <c r="A25" s="3"/>
      <c r="B25" s="3"/>
      <c r="C25" s="3"/>
      <c r="D25" s="3"/>
      <c r="E25" s="3"/>
      <c r="F25" s="3"/>
      <c r="G25" s="3"/>
    </row>
    <row r="26" spans="1:7" ht="15.6" x14ac:dyDescent="0.3">
      <c r="A26" s="3"/>
      <c r="B26" s="3"/>
      <c r="C26" s="3"/>
      <c r="D26" s="3"/>
      <c r="E26" s="3"/>
      <c r="F26" s="3"/>
      <c r="G26" s="3"/>
    </row>
  </sheetData>
  <dataConsolidate/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9"/>
  <sheetViews>
    <sheetView zoomScale="110" zoomScaleNormal="110" workbookViewId="0">
      <selection activeCell="I11" sqref="I11"/>
    </sheetView>
  </sheetViews>
  <sheetFormatPr defaultRowHeight="14.4" x14ac:dyDescent="0.3"/>
  <cols>
    <col min="1" max="1" width="9.88671875" customWidth="1"/>
    <col min="2" max="2" width="31" customWidth="1"/>
    <col min="3" max="3" width="12.88671875" customWidth="1"/>
    <col min="4" max="4" width="12.5546875" customWidth="1"/>
    <col min="5" max="5" width="12.44140625" customWidth="1"/>
  </cols>
  <sheetData>
    <row r="1" spans="1:6" ht="23.4" x14ac:dyDescent="0.45">
      <c r="A1" s="17" t="s">
        <v>36</v>
      </c>
      <c r="B1" s="17"/>
      <c r="C1" s="17"/>
      <c r="D1" s="17"/>
      <c r="E1" s="17"/>
    </row>
    <row r="2" spans="1:6" ht="30.6" x14ac:dyDescent="0.3">
      <c r="A2" s="2" t="s">
        <v>2</v>
      </c>
      <c r="B2" s="2" t="s">
        <v>0</v>
      </c>
      <c r="C2" s="2" t="s">
        <v>15</v>
      </c>
      <c r="D2" s="2" t="s">
        <v>37</v>
      </c>
      <c r="E2" s="2" t="s">
        <v>1</v>
      </c>
      <c r="F2" s="2" t="s">
        <v>49</v>
      </c>
    </row>
    <row r="3" spans="1:6" ht="15.6" x14ac:dyDescent="0.3">
      <c r="A3" s="6" t="s">
        <v>22</v>
      </c>
      <c r="B3" s="6" t="s">
        <v>4</v>
      </c>
      <c r="C3" s="6" t="s">
        <v>17</v>
      </c>
      <c r="D3" s="6" t="s">
        <v>38</v>
      </c>
      <c r="E3" s="6">
        <v>1100</v>
      </c>
      <c r="F3" s="1"/>
    </row>
    <row r="4" spans="1:6" ht="15.6" x14ac:dyDescent="0.3">
      <c r="A4" s="6" t="s">
        <v>19</v>
      </c>
      <c r="B4" s="6" t="s">
        <v>5</v>
      </c>
      <c r="C4" s="6" t="s">
        <v>17</v>
      </c>
      <c r="D4" s="6" t="s">
        <v>39</v>
      </c>
      <c r="E4" s="6">
        <v>1200</v>
      </c>
      <c r="F4" s="1"/>
    </row>
    <row r="5" spans="1:6" ht="15.6" x14ac:dyDescent="0.3">
      <c r="A5" s="6" t="s">
        <v>20</v>
      </c>
      <c r="B5" s="6" t="s">
        <v>6</v>
      </c>
      <c r="C5" s="6" t="s">
        <v>17</v>
      </c>
      <c r="D5" s="6" t="s">
        <v>38</v>
      </c>
      <c r="E5" s="6">
        <v>1500</v>
      </c>
      <c r="F5" s="1"/>
    </row>
    <row r="6" spans="1:6" ht="15.6" x14ac:dyDescent="0.3">
      <c r="A6" s="6" t="s">
        <v>21</v>
      </c>
      <c r="B6" s="6" t="s">
        <v>3</v>
      </c>
      <c r="C6" s="6" t="s">
        <v>16</v>
      </c>
      <c r="D6" s="6" t="s">
        <v>39</v>
      </c>
      <c r="E6" s="6">
        <v>8000</v>
      </c>
      <c r="F6" s="1"/>
    </row>
    <row r="7" spans="1:6" ht="15.6" x14ac:dyDescent="0.3">
      <c r="A7" s="6" t="s">
        <v>27</v>
      </c>
      <c r="B7" s="6" t="s">
        <v>11</v>
      </c>
      <c r="C7" s="6" t="s">
        <v>16</v>
      </c>
      <c r="D7" s="6" t="s">
        <v>39</v>
      </c>
      <c r="E7" s="6">
        <v>45000</v>
      </c>
      <c r="F7" s="1"/>
    </row>
    <row r="8" spans="1:6" ht="15.6" x14ac:dyDescent="0.3">
      <c r="A8" s="6" t="s">
        <v>24</v>
      </c>
      <c r="B8" s="6" t="s">
        <v>8</v>
      </c>
      <c r="C8" s="6" t="s">
        <v>16</v>
      </c>
      <c r="D8" s="6" t="s">
        <v>38</v>
      </c>
      <c r="E8" s="6">
        <v>81000</v>
      </c>
      <c r="F8" s="1"/>
    </row>
    <row r="9" spans="1:6" ht="15.6" x14ac:dyDescent="0.3">
      <c r="A9" s="6" t="s">
        <v>23</v>
      </c>
      <c r="B9" s="6" t="s">
        <v>7</v>
      </c>
      <c r="C9" s="6" t="s">
        <v>16</v>
      </c>
      <c r="D9" s="6" t="s">
        <v>38</v>
      </c>
      <c r="E9" s="6">
        <v>98000</v>
      </c>
      <c r="F9" s="1"/>
    </row>
    <row r="10" spans="1:6" ht="15.6" x14ac:dyDescent="0.3">
      <c r="A10" s="6" t="s">
        <v>25</v>
      </c>
      <c r="B10" s="6" t="s">
        <v>9</v>
      </c>
      <c r="C10" s="6" t="s">
        <v>18</v>
      </c>
      <c r="D10" s="6" t="s">
        <v>39</v>
      </c>
      <c r="E10" s="6">
        <v>5900</v>
      </c>
      <c r="F10" s="1"/>
    </row>
    <row r="11" spans="1:6" ht="15.6" x14ac:dyDescent="0.3">
      <c r="A11" s="3"/>
      <c r="B11" s="3"/>
      <c r="C11" s="3"/>
      <c r="D11" s="3"/>
      <c r="E11" s="3"/>
    </row>
    <row r="12" spans="1:6" ht="15.6" x14ac:dyDescent="0.3">
      <c r="A12" s="3"/>
      <c r="B12" s="3"/>
      <c r="C12" s="3"/>
      <c r="D12" s="3"/>
      <c r="E12" s="3"/>
    </row>
    <row r="13" spans="1:6" ht="15.6" x14ac:dyDescent="0.3">
      <c r="A13" s="3"/>
      <c r="B13" s="3"/>
      <c r="C13" s="3"/>
      <c r="D13" s="3"/>
      <c r="E13" s="3"/>
    </row>
    <row r="14" spans="1:6" ht="15.6" x14ac:dyDescent="0.3">
      <c r="A14" s="3"/>
      <c r="B14" s="3"/>
      <c r="C14" s="3"/>
      <c r="D14" s="3"/>
      <c r="E14" s="3"/>
    </row>
    <row r="15" spans="1:6" ht="15.6" x14ac:dyDescent="0.3">
      <c r="A15" s="3"/>
      <c r="B15" s="3"/>
      <c r="C15" s="3"/>
      <c r="D15" s="3"/>
      <c r="E15" s="3"/>
    </row>
    <row r="16" spans="1:6" ht="15.6" x14ac:dyDescent="0.3">
      <c r="A16" s="3"/>
      <c r="B16" s="3"/>
      <c r="C16" s="3"/>
      <c r="D16" s="3"/>
      <c r="E16" s="3"/>
    </row>
    <row r="17" spans="1:5" ht="15.6" x14ac:dyDescent="0.3">
      <c r="A17" s="3"/>
      <c r="B17" s="3"/>
      <c r="C17" s="3"/>
      <c r="D17" s="3"/>
      <c r="E17" s="3"/>
    </row>
    <row r="18" spans="1:5" ht="15.6" x14ac:dyDescent="0.3">
      <c r="A18" s="3"/>
      <c r="B18" s="3"/>
      <c r="C18" s="3"/>
      <c r="D18" s="3"/>
      <c r="E18" s="3"/>
    </row>
    <row r="19" spans="1:5" ht="15.6" x14ac:dyDescent="0.3">
      <c r="A19" s="3"/>
      <c r="B19" s="3"/>
      <c r="C19" s="3"/>
      <c r="D19" s="3"/>
      <c r="E19" s="3"/>
    </row>
    <row r="20" spans="1:5" ht="15.6" x14ac:dyDescent="0.3">
      <c r="A20" s="3"/>
      <c r="B20" s="3"/>
      <c r="C20" s="3"/>
      <c r="D20" s="3"/>
      <c r="E20" s="3"/>
    </row>
    <row r="21" spans="1:5" ht="15.6" x14ac:dyDescent="0.3">
      <c r="A21" s="3"/>
      <c r="B21" s="3"/>
      <c r="C21" s="3"/>
      <c r="D21" s="3"/>
      <c r="E21" s="3"/>
    </row>
    <row r="22" spans="1:5" ht="15.6" x14ac:dyDescent="0.3">
      <c r="A22" s="3"/>
      <c r="B22" s="3"/>
      <c r="C22" s="3"/>
      <c r="D22" s="3"/>
      <c r="E22" s="3"/>
    </row>
    <row r="23" spans="1:5" ht="15.6" x14ac:dyDescent="0.3">
      <c r="A23" s="3"/>
      <c r="B23" s="3"/>
      <c r="C23" s="3"/>
      <c r="D23" s="3"/>
      <c r="E23" s="3"/>
    </row>
    <row r="24" spans="1:5" ht="15.6" x14ac:dyDescent="0.3">
      <c r="A24" s="3"/>
      <c r="B24" s="3"/>
      <c r="C24" s="3"/>
      <c r="D24" s="3"/>
      <c r="E24" s="3"/>
    </row>
    <row r="25" spans="1:5" ht="15.6" x14ac:dyDescent="0.3">
      <c r="A25" s="3"/>
      <c r="B25" s="3"/>
      <c r="C25" s="3"/>
      <c r="D25" s="3"/>
      <c r="E25" s="3"/>
    </row>
    <row r="26" spans="1:5" ht="15.6" x14ac:dyDescent="0.3">
      <c r="A26" s="3"/>
      <c r="B26" s="3"/>
      <c r="C26" s="3"/>
      <c r="D26" s="3"/>
      <c r="E26" s="3"/>
    </row>
    <row r="27" spans="1:5" ht="15.6" x14ac:dyDescent="0.3">
      <c r="A27" s="3"/>
      <c r="B27" s="3"/>
      <c r="C27" s="3"/>
      <c r="D27" s="3"/>
      <c r="E27" s="3"/>
    </row>
    <row r="28" spans="1:5" ht="15.6" x14ac:dyDescent="0.3">
      <c r="A28" s="3"/>
      <c r="B28" s="3"/>
      <c r="C28" s="3"/>
      <c r="D28" s="3"/>
      <c r="E28" s="3"/>
    </row>
    <row r="29" spans="1:5" ht="15.6" x14ac:dyDescent="0.3">
      <c r="A29" s="3"/>
      <c r="B29" s="3"/>
      <c r="C29" s="3"/>
      <c r="D29" s="3"/>
      <c r="E29" s="3"/>
    </row>
    <row r="30" spans="1:5" ht="15.6" x14ac:dyDescent="0.3">
      <c r="A30" s="3"/>
      <c r="B30" s="3"/>
      <c r="C30" s="3"/>
      <c r="D30" s="3"/>
      <c r="E30" s="3"/>
    </row>
    <row r="31" spans="1:5" ht="15.6" x14ac:dyDescent="0.3">
      <c r="A31" s="3"/>
      <c r="B31" s="3"/>
      <c r="C31" s="3"/>
      <c r="D31" s="3"/>
      <c r="E31" s="3"/>
    </row>
    <row r="32" spans="1:5" ht="15.6" x14ac:dyDescent="0.3">
      <c r="A32" s="3"/>
      <c r="B32" s="3"/>
      <c r="C32" s="3"/>
      <c r="D32" s="3"/>
      <c r="E32" s="3"/>
    </row>
    <row r="33" spans="1:5" ht="15.6" x14ac:dyDescent="0.3">
      <c r="A33" s="3"/>
      <c r="B33" s="3"/>
      <c r="C33" s="3"/>
      <c r="D33" s="3"/>
      <c r="E33" s="3"/>
    </row>
    <row r="34" spans="1:5" ht="15.6" x14ac:dyDescent="0.3">
      <c r="A34" s="3"/>
      <c r="B34" s="3"/>
      <c r="C34" s="3"/>
      <c r="D34" s="3"/>
      <c r="E34" s="3"/>
    </row>
    <row r="35" spans="1:5" ht="15.6" x14ac:dyDescent="0.3">
      <c r="A35" s="3"/>
      <c r="B35" s="3"/>
      <c r="C35" s="3"/>
      <c r="D35" s="3"/>
      <c r="E35" s="3"/>
    </row>
    <row r="36" spans="1:5" ht="15.6" x14ac:dyDescent="0.3">
      <c r="A36" s="3"/>
      <c r="B36" s="3"/>
      <c r="C36" s="3"/>
      <c r="D36" s="3"/>
      <c r="E36" s="3"/>
    </row>
    <row r="37" spans="1:5" ht="15.6" x14ac:dyDescent="0.3">
      <c r="A37" s="3"/>
      <c r="B37" s="3"/>
      <c r="C37" s="3"/>
      <c r="D37" s="3"/>
      <c r="E37" s="3"/>
    </row>
    <row r="38" spans="1:5" ht="15.6" x14ac:dyDescent="0.3">
      <c r="A38" s="3"/>
      <c r="B38" s="3"/>
      <c r="C38" s="3"/>
      <c r="D38" s="3"/>
      <c r="E38" s="3"/>
    </row>
    <row r="39" spans="1:5" ht="15.6" x14ac:dyDescent="0.3">
      <c r="A39" s="3"/>
      <c r="B39" s="3"/>
      <c r="C39" s="3"/>
      <c r="D39" s="3"/>
      <c r="E39" s="3"/>
    </row>
  </sheetData>
  <dataConsolidate>
    <dataRefs count="4">
      <dataRef ref="F3:F10" sheet="2_ Demo Consol-1"/>
      <dataRef ref="F3:F10" sheet="2_Demo Consol-2"/>
      <dataRef ref="F3:F10" sheet="2_Demo Consol-3"/>
      <dataRef ref="F3:F10" sheet="2_Demo Consol-4"/>
    </dataRefs>
  </dataConsolidate>
  <mergeCells count="1">
    <mergeCell ref="A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22"/>
  <sheetViews>
    <sheetView zoomScale="180" zoomScaleNormal="180" workbookViewId="0">
      <selection activeCell="D8" sqref="D8"/>
    </sheetView>
  </sheetViews>
  <sheetFormatPr defaultRowHeight="14.4" x14ac:dyDescent="0.3"/>
  <cols>
    <col min="2" max="2" width="15.6640625" style="11" customWidth="1"/>
    <col min="3" max="3" width="14.33203125" style="11" customWidth="1"/>
  </cols>
  <sheetData>
    <row r="2" spans="1:3" x14ac:dyDescent="0.3">
      <c r="A2" s="1" t="s">
        <v>50</v>
      </c>
      <c r="B2" s="10" t="s">
        <v>51</v>
      </c>
      <c r="C2" s="10" t="s">
        <v>52</v>
      </c>
    </row>
    <row r="3" spans="1:3" x14ac:dyDescent="0.3">
      <c r="A3" s="1">
        <v>1</v>
      </c>
      <c r="B3" s="10">
        <v>5</v>
      </c>
      <c r="C3" s="10">
        <v>9</v>
      </c>
    </row>
    <row r="4" spans="1:3" x14ac:dyDescent="0.3">
      <c r="A4" s="1">
        <v>2</v>
      </c>
      <c r="B4" s="10">
        <v>15</v>
      </c>
      <c r="C4" s="10">
        <v>20</v>
      </c>
    </row>
    <row r="5" spans="1:3" x14ac:dyDescent="0.3">
      <c r="A5" s="1">
        <v>3</v>
      </c>
      <c r="B5" s="10">
        <v>26</v>
      </c>
      <c r="C5" s="10">
        <v>39</v>
      </c>
    </row>
    <row r="6" spans="1:3" x14ac:dyDescent="0.3">
      <c r="A6" s="1">
        <v>4</v>
      </c>
      <c r="B6" s="10">
        <v>30</v>
      </c>
      <c r="C6" s="10">
        <v>59</v>
      </c>
    </row>
    <row r="7" spans="1:3" x14ac:dyDescent="0.3">
      <c r="A7" s="1">
        <v>5</v>
      </c>
      <c r="B7" s="10">
        <v>39</v>
      </c>
      <c r="C7" s="10">
        <v>60</v>
      </c>
    </row>
    <row r="8" spans="1:3" x14ac:dyDescent="0.3">
      <c r="A8" s="1">
        <v>6</v>
      </c>
      <c r="B8" s="10">
        <v>56</v>
      </c>
      <c r="C8" s="10">
        <v>61</v>
      </c>
    </row>
    <row r="9" spans="1:3" x14ac:dyDescent="0.3">
      <c r="A9" s="1">
        <v>7</v>
      </c>
      <c r="B9" s="10">
        <v>60</v>
      </c>
      <c r="C9" s="10">
        <v>69</v>
      </c>
    </row>
    <row r="10" spans="1:3" x14ac:dyDescent="0.3">
      <c r="A10" s="1">
        <v>8</v>
      </c>
      <c r="B10" s="10">
        <v>60</v>
      </c>
      <c r="C10" s="10">
        <v>72</v>
      </c>
    </row>
    <row r="11" spans="1:3" x14ac:dyDescent="0.3">
      <c r="A11" s="1">
        <v>9</v>
      </c>
      <c r="B11" s="10">
        <v>67</v>
      </c>
      <c r="C11" s="10">
        <v>81</v>
      </c>
    </row>
    <row r="12" spans="1:3" x14ac:dyDescent="0.3">
      <c r="A12" s="1">
        <v>10</v>
      </c>
      <c r="B12" s="10">
        <v>69</v>
      </c>
      <c r="C12" s="10">
        <v>86</v>
      </c>
    </row>
    <row r="13" spans="1:3" x14ac:dyDescent="0.3">
      <c r="A13" s="1">
        <v>11</v>
      </c>
      <c r="B13" s="10">
        <v>80</v>
      </c>
      <c r="C13" s="10">
        <v>89</v>
      </c>
    </row>
    <row r="14" spans="1:3" x14ac:dyDescent="0.3">
      <c r="A14" s="1">
        <v>12</v>
      </c>
      <c r="B14" s="10">
        <v>89</v>
      </c>
      <c r="C14" s="10">
        <v>91</v>
      </c>
    </row>
    <row r="15" spans="1:3" x14ac:dyDescent="0.3">
      <c r="A15" s="1">
        <v>13</v>
      </c>
      <c r="B15" s="10">
        <v>94</v>
      </c>
      <c r="C15" s="10">
        <v>95</v>
      </c>
    </row>
    <row r="16" spans="1:3" x14ac:dyDescent="0.3">
      <c r="A16" s="1">
        <v>14</v>
      </c>
      <c r="B16" s="10">
        <v>97</v>
      </c>
      <c r="C16" s="10">
        <v>97</v>
      </c>
    </row>
    <row r="17" spans="1:3" x14ac:dyDescent="0.3">
      <c r="A17" s="1">
        <v>15</v>
      </c>
      <c r="B17" s="10">
        <v>110</v>
      </c>
      <c r="C17" s="10">
        <v>105</v>
      </c>
    </row>
    <row r="18" spans="1:3" x14ac:dyDescent="0.3">
      <c r="A18" s="1">
        <v>16</v>
      </c>
      <c r="B18" s="10">
        <v>130</v>
      </c>
      <c r="C18" s="10">
        <v>116</v>
      </c>
    </row>
    <row r="19" spans="1:3" x14ac:dyDescent="0.3">
      <c r="A19" s="1">
        <v>17</v>
      </c>
      <c r="B19" s="10">
        <v>147</v>
      </c>
      <c r="C19" s="10">
        <v>132</v>
      </c>
    </row>
    <row r="20" spans="1:3" x14ac:dyDescent="0.3">
      <c r="A20" s="1">
        <v>18</v>
      </c>
      <c r="B20" s="10">
        <v>158</v>
      </c>
      <c r="C20" s="10">
        <v>149</v>
      </c>
    </row>
    <row r="21" spans="1:3" x14ac:dyDescent="0.3">
      <c r="A21" s="1">
        <v>19</v>
      </c>
      <c r="B21" s="10">
        <v>165</v>
      </c>
      <c r="C21" s="10">
        <v>169</v>
      </c>
    </row>
    <row r="22" spans="1:3" x14ac:dyDescent="0.3">
      <c r="A22" s="1">
        <v>20</v>
      </c>
      <c r="B22" s="10">
        <v>174</v>
      </c>
      <c r="C22" s="10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9"/>
  <sheetViews>
    <sheetView topLeftCell="E7" zoomScale="130" zoomScaleNormal="130" workbookViewId="0">
      <selection activeCell="O6" sqref="O6"/>
    </sheetView>
  </sheetViews>
  <sheetFormatPr defaultRowHeight="14.4" x14ac:dyDescent="0.3"/>
  <cols>
    <col min="1" max="1" width="9.88671875" customWidth="1"/>
    <col min="2" max="2" width="31" customWidth="1"/>
    <col min="3" max="3" width="12.88671875" customWidth="1"/>
    <col min="4" max="4" width="7.88671875" bestFit="1" customWidth="1"/>
    <col min="5" max="5" width="8.109375" customWidth="1"/>
    <col min="6" max="6" width="13.33203125" customWidth="1"/>
    <col min="7" max="8" width="11.33203125" customWidth="1"/>
    <col min="9" max="9" width="16.5546875" customWidth="1"/>
    <col min="12" max="12" width="12" customWidth="1"/>
    <col min="13" max="13" width="18.6640625" customWidth="1"/>
  </cols>
  <sheetData>
    <row r="1" spans="1:16" ht="23.4" x14ac:dyDescent="0.45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6" ht="70.5" customHeight="1" x14ac:dyDescent="0.3">
      <c r="A2" s="2" t="s">
        <v>2</v>
      </c>
      <c r="B2" s="2" t="s">
        <v>0</v>
      </c>
      <c r="C2" s="2" t="s">
        <v>15</v>
      </c>
      <c r="D2" s="2" t="s">
        <v>1</v>
      </c>
      <c r="E2" s="2" t="s">
        <v>12</v>
      </c>
      <c r="F2" s="2" t="s">
        <v>14</v>
      </c>
      <c r="G2" s="2" t="s">
        <v>29</v>
      </c>
      <c r="H2" s="2" t="s">
        <v>31</v>
      </c>
      <c r="I2" s="2" t="s">
        <v>13</v>
      </c>
      <c r="J2" s="3"/>
      <c r="K2" s="4" t="s">
        <v>30</v>
      </c>
      <c r="L2" s="5" t="s">
        <v>32</v>
      </c>
      <c r="M2" s="18" t="s">
        <v>48</v>
      </c>
      <c r="N2" s="18"/>
      <c r="O2" s="18"/>
      <c r="P2" s="18"/>
    </row>
    <row r="3" spans="1:16" ht="15.6" x14ac:dyDescent="0.3">
      <c r="A3" s="6" t="s">
        <v>22</v>
      </c>
      <c r="B3" s="6" t="s">
        <v>4</v>
      </c>
      <c r="C3" s="6" t="s">
        <v>17</v>
      </c>
      <c r="D3" s="6">
        <v>1100</v>
      </c>
      <c r="E3" s="6">
        <v>100</v>
      </c>
      <c r="F3" s="6">
        <f t="shared" ref="F3:F10" si="0">E3*D3</f>
        <v>110000</v>
      </c>
      <c r="G3" s="6">
        <f t="shared" ref="G3:G10" si="1">F3*$K$3/100</f>
        <v>13200</v>
      </c>
      <c r="H3" s="6">
        <f t="shared" ref="H3:H10" si="2">F3*$L$3/100</f>
        <v>5500</v>
      </c>
      <c r="I3" s="6">
        <f t="shared" ref="I3:I10" si="3">F3+G3-H3</f>
        <v>117700</v>
      </c>
      <c r="J3" s="3"/>
      <c r="K3" s="7">
        <v>12</v>
      </c>
      <c r="L3" s="8">
        <v>5</v>
      </c>
      <c r="M3" s="3"/>
    </row>
    <row r="4" spans="1:16" ht="15.6" x14ac:dyDescent="0.3">
      <c r="A4" s="6" t="s">
        <v>19</v>
      </c>
      <c r="B4" s="6" t="s">
        <v>5</v>
      </c>
      <c r="C4" s="6" t="s">
        <v>17</v>
      </c>
      <c r="D4" s="6">
        <v>1200</v>
      </c>
      <c r="E4" s="6">
        <v>102</v>
      </c>
      <c r="F4" s="6">
        <f t="shared" si="0"/>
        <v>122400</v>
      </c>
      <c r="G4" s="6">
        <f t="shared" si="1"/>
        <v>14688</v>
      </c>
      <c r="H4" s="6">
        <f t="shared" si="2"/>
        <v>6120</v>
      </c>
      <c r="I4" s="6">
        <f t="shared" si="3"/>
        <v>130968</v>
      </c>
      <c r="J4" s="3"/>
      <c r="K4" s="3"/>
      <c r="L4" s="3"/>
      <c r="M4" s="3"/>
    </row>
    <row r="5" spans="1:16" ht="30.6" x14ac:dyDescent="0.3">
      <c r="A5" s="6" t="s">
        <v>20</v>
      </c>
      <c r="B5" s="6" t="s">
        <v>6</v>
      </c>
      <c r="C5" s="6" t="s">
        <v>17</v>
      </c>
      <c r="D5" s="6">
        <v>1500</v>
      </c>
      <c r="E5" s="6">
        <v>105</v>
      </c>
      <c r="F5" s="6">
        <f t="shared" si="0"/>
        <v>157500</v>
      </c>
      <c r="G5" s="6">
        <f t="shared" si="1"/>
        <v>18900</v>
      </c>
      <c r="H5" s="6">
        <f t="shared" si="2"/>
        <v>7875</v>
      </c>
      <c r="I5" s="6">
        <f t="shared" si="3"/>
        <v>168525</v>
      </c>
      <c r="J5" s="3"/>
      <c r="K5" s="3"/>
      <c r="L5" s="3"/>
      <c r="M5" s="6" t="s">
        <v>40</v>
      </c>
      <c r="N5" s="1">
        <v>45</v>
      </c>
    </row>
    <row r="6" spans="1:16" ht="15.6" x14ac:dyDescent="0.3">
      <c r="A6" s="6" t="s">
        <v>21</v>
      </c>
      <c r="B6" s="6" t="s">
        <v>3</v>
      </c>
      <c r="C6" s="6" t="s">
        <v>16</v>
      </c>
      <c r="D6" s="6">
        <v>8000</v>
      </c>
      <c r="E6" s="6">
        <v>109</v>
      </c>
      <c r="F6" s="6">
        <f t="shared" si="0"/>
        <v>872000</v>
      </c>
      <c r="G6" s="6">
        <f t="shared" si="1"/>
        <v>104640</v>
      </c>
      <c r="H6" s="6">
        <f t="shared" si="2"/>
        <v>43600</v>
      </c>
      <c r="I6" s="6">
        <f t="shared" si="3"/>
        <v>933040</v>
      </c>
      <c r="J6" s="3"/>
      <c r="K6" s="3"/>
      <c r="L6" s="3"/>
      <c r="M6" s="9" t="s">
        <v>41</v>
      </c>
      <c r="N6" s="1">
        <v>31.5</v>
      </c>
      <c r="O6" t="s">
        <v>46</v>
      </c>
    </row>
    <row r="7" spans="1:16" ht="15.6" x14ac:dyDescent="0.3">
      <c r="A7" s="6" t="s">
        <v>27</v>
      </c>
      <c r="B7" s="6" t="s">
        <v>11</v>
      </c>
      <c r="C7" s="6" t="s">
        <v>16</v>
      </c>
      <c r="D7" s="6">
        <v>45000</v>
      </c>
      <c r="E7" s="6">
        <v>80</v>
      </c>
      <c r="F7" s="6">
        <f t="shared" si="0"/>
        <v>3600000</v>
      </c>
      <c r="G7" s="6">
        <f t="shared" si="1"/>
        <v>432000</v>
      </c>
      <c r="H7" s="6">
        <f t="shared" si="2"/>
        <v>180000</v>
      </c>
      <c r="I7" s="6">
        <f t="shared" si="3"/>
        <v>3852000</v>
      </c>
      <c r="J7" s="3"/>
      <c r="K7" s="3"/>
      <c r="L7" s="3"/>
      <c r="M7" s="9" t="s">
        <v>42</v>
      </c>
      <c r="N7" s="1">
        <f>N5-N6</f>
        <v>13.5</v>
      </c>
    </row>
    <row r="8" spans="1:16" ht="15.6" x14ac:dyDescent="0.3">
      <c r="A8" s="6" t="s">
        <v>24</v>
      </c>
      <c r="B8" s="6" t="s">
        <v>8</v>
      </c>
      <c r="C8" s="6" t="s">
        <v>16</v>
      </c>
      <c r="D8" s="6">
        <v>81000</v>
      </c>
      <c r="E8" s="6">
        <v>75</v>
      </c>
      <c r="F8" s="6">
        <f t="shared" si="0"/>
        <v>6075000</v>
      </c>
      <c r="G8" s="6">
        <f t="shared" si="1"/>
        <v>729000</v>
      </c>
      <c r="H8" s="6">
        <f t="shared" si="2"/>
        <v>303750</v>
      </c>
      <c r="I8" s="6">
        <f t="shared" si="3"/>
        <v>6500250</v>
      </c>
      <c r="J8" s="3"/>
      <c r="K8" s="3"/>
      <c r="L8" s="3"/>
      <c r="M8" s="9" t="s">
        <v>43</v>
      </c>
      <c r="N8" s="1">
        <f>N6/N5*100</f>
        <v>70</v>
      </c>
      <c r="O8" t="s">
        <v>44</v>
      </c>
      <c r="P8" t="s">
        <v>45</v>
      </c>
    </row>
    <row r="9" spans="1:16" ht="15.6" x14ac:dyDescent="0.3">
      <c r="A9" s="6" t="s">
        <v>23</v>
      </c>
      <c r="B9" s="6" t="s">
        <v>7</v>
      </c>
      <c r="C9" s="6" t="s">
        <v>16</v>
      </c>
      <c r="D9" s="6">
        <v>98000</v>
      </c>
      <c r="E9" s="6">
        <v>71</v>
      </c>
      <c r="F9" s="6">
        <f t="shared" si="0"/>
        <v>6958000</v>
      </c>
      <c r="G9" s="6">
        <f t="shared" si="1"/>
        <v>834960</v>
      </c>
      <c r="H9" s="6">
        <f t="shared" si="2"/>
        <v>347900</v>
      </c>
      <c r="I9" s="6">
        <f t="shared" si="3"/>
        <v>7445060</v>
      </c>
      <c r="J9" s="3"/>
      <c r="K9" s="3"/>
      <c r="L9" s="3"/>
      <c r="M9" s="3"/>
    </row>
    <row r="10" spans="1:16" ht="24" customHeight="1" x14ac:dyDescent="0.4">
      <c r="A10" s="6" t="s">
        <v>26</v>
      </c>
      <c r="B10" s="6" t="s">
        <v>10</v>
      </c>
      <c r="C10" s="6" t="s">
        <v>18</v>
      </c>
      <c r="D10" s="6">
        <v>6290</v>
      </c>
      <c r="E10" s="6">
        <v>90</v>
      </c>
      <c r="F10" s="6">
        <f t="shared" si="0"/>
        <v>566100</v>
      </c>
      <c r="G10" s="6">
        <f t="shared" si="1"/>
        <v>67932</v>
      </c>
      <c r="H10" s="6">
        <f t="shared" si="2"/>
        <v>28305</v>
      </c>
      <c r="I10" s="6">
        <f t="shared" si="3"/>
        <v>605727</v>
      </c>
      <c r="J10" s="3"/>
      <c r="K10" s="19" t="s">
        <v>47</v>
      </c>
      <c r="L10" s="19"/>
      <c r="M10" s="19"/>
      <c r="N10" s="19"/>
    </row>
    <row r="11" spans="1:16" ht="15.6" x14ac:dyDescent="0.3">
      <c r="A11" s="3"/>
      <c r="B11" s="3"/>
      <c r="C11" s="3"/>
      <c r="D11" s="3"/>
      <c r="E11" s="3">
        <f>SUM(E3:E10)</f>
        <v>732</v>
      </c>
      <c r="F11" s="3">
        <f>SUM(F3:F10)</f>
        <v>18461000</v>
      </c>
      <c r="G11" s="3">
        <f>SUM(G3:G10)</f>
        <v>2215320</v>
      </c>
      <c r="H11" s="3">
        <f>SUM(H3:H10)</f>
        <v>923050</v>
      </c>
      <c r="I11" s="3">
        <f>SUM(I3:I10)</f>
        <v>19753270</v>
      </c>
      <c r="J11" s="3"/>
      <c r="K11" s="3"/>
      <c r="L11" s="3"/>
      <c r="M11" s="3"/>
    </row>
    <row r="12" spans="1:16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6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6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9" t="s">
        <v>53</v>
      </c>
      <c r="K14" s="9"/>
      <c r="L14" s="9"/>
      <c r="M14" s="9">
        <v>5000</v>
      </c>
    </row>
    <row r="15" spans="1:16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9" t="s">
        <v>54</v>
      </c>
      <c r="K15" s="9"/>
      <c r="L15" s="9"/>
      <c r="M15" s="9">
        <v>26</v>
      </c>
    </row>
    <row r="16" spans="1:16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9"/>
      <c r="K16" s="9"/>
      <c r="L16" s="9"/>
      <c r="M16" s="9">
        <f>M14*M15</f>
        <v>130000</v>
      </c>
    </row>
    <row r="17" spans="1:13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.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.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5.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.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.6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.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.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.6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scenarios current="2" show="2">
    <scenario name="Poor Case" locked="1" count="8" user="Jaideep.Raulji" comment="Created by Jaideep.Raulji on 03-02-2023">
      <inputCells r="E3" val="70"/>
      <inputCells r="E4" val="89"/>
      <inputCells r="E5" val="90"/>
      <inputCells r="E6" val="60"/>
      <inputCells r="E7" val="60"/>
      <inputCells r="E8" val="50"/>
      <inputCells r="E9" val="90"/>
      <inputCells r="E10" val="78"/>
    </scenario>
    <scenario name="Best case" locked="1" count="8" user="Jaideep.Raulji" comment="Created by Jaideep.Raulji on 03-02-2023">
      <inputCells r="E3" val="80"/>
      <inputCells r="E4" val="95"/>
      <inputCells r="E5" val="98"/>
      <inputCells r="E6" val="69"/>
      <inputCells r="E7" val="80"/>
      <inputCells r="E8" val="68"/>
      <inputCells r="E9" val="80"/>
      <inputCells r="E10" val="96"/>
    </scenario>
    <scenario name="Excellent case" locked="1" count="8" user="Jaideep.Raulji" comment="Created by Jaideep.Raulji on 03-02-2023">
      <inputCells r="E3" val="100"/>
      <inputCells r="E4" val="102"/>
      <inputCells r="E5" val="105"/>
      <inputCells r="E6" val="109"/>
      <inputCells r="E7" val="80"/>
      <inputCells r="E8" val="75"/>
      <inputCells r="E9" val="71"/>
      <inputCells r="E10" val="90"/>
    </scenario>
  </scenarios>
  <mergeCells count="3">
    <mergeCell ref="A1:L1"/>
    <mergeCell ref="M2:P2"/>
    <mergeCell ref="K10:N1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EB89-0D42-452E-910E-930D988C272F}">
  <dimension ref="A1:E40"/>
  <sheetViews>
    <sheetView workbookViewId="0">
      <selection activeCell="I8" sqref="I8"/>
    </sheetView>
  </sheetViews>
  <sheetFormatPr defaultRowHeight="14.4" x14ac:dyDescent="0.3"/>
  <cols>
    <col min="1" max="1" width="11.5546875" bestFit="1" customWidth="1"/>
    <col min="2" max="2" width="23.6640625" customWidth="1"/>
    <col min="3" max="3" width="17.33203125" customWidth="1"/>
    <col min="4" max="4" width="13" customWidth="1"/>
    <col min="5" max="5" width="15.109375" customWidth="1"/>
  </cols>
  <sheetData>
    <row r="1" spans="1:5" ht="29.4" thickBot="1" x14ac:dyDescent="0.35">
      <c r="A1" s="14" t="s">
        <v>55</v>
      </c>
      <c r="B1" s="15" t="s">
        <v>0</v>
      </c>
      <c r="C1" s="15" t="s">
        <v>56</v>
      </c>
      <c r="D1" s="15" t="s">
        <v>57</v>
      </c>
      <c r="E1" s="15" t="s">
        <v>58</v>
      </c>
    </row>
    <row r="2" spans="1:5" ht="15" customHeight="1" thickBot="1" x14ac:dyDescent="0.35">
      <c r="A2" s="12">
        <v>35065</v>
      </c>
      <c r="B2" s="13" t="s">
        <v>59</v>
      </c>
      <c r="C2" s="13" t="s">
        <v>39</v>
      </c>
      <c r="D2" s="13" t="s">
        <v>60</v>
      </c>
      <c r="E2" s="13">
        <v>35</v>
      </c>
    </row>
    <row r="3" spans="1:5" ht="15" customHeight="1" thickBot="1" x14ac:dyDescent="0.35">
      <c r="A3" s="12">
        <v>35065</v>
      </c>
      <c r="B3" s="13" t="s">
        <v>61</v>
      </c>
      <c r="C3" s="13" t="s">
        <v>39</v>
      </c>
      <c r="D3" s="13" t="s">
        <v>62</v>
      </c>
      <c r="E3" s="13">
        <v>45</v>
      </c>
    </row>
    <row r="4" spans="1:5" ht="15" customHeight="1" thickBot="1" x14ac:dyDescent="0.35">
      <c r="A4" s="12">
        <v>35066</v>
      </c>
      <c r="B4" s="13" t="s">
        <v>63</v>
      </c>
      <c r="C4" s="13" t="s">
        <v>39</v>
      </c>
      <c r="D4" s="13" t="s">
        <v>64</v>
      </c>
      <c r="E4" s="13">
        <v>12</v>
      </c>
    </row>
    <row r="5" spans="1:5" ht="15" customHeight="1" thickBot="1" x14ac:dyDescent="0.35">
      <c r="A5" s="12">
        <v>35066</v>
      </c>
      <c r="B5" s="13" t="s">
        <v>59</v>
      </c>
      <c r="C5" s="13" t="s">
        <v>65</v>
      </c>
      <c r="D5" s="13" t="s">
        <v>60</v>
      </c>
      <c r="E5" s="13">
        <v>17</v>
      </c>
    </row>
    <row r="6" spans="1:5" ht="15" customHeight="1" thickBot="1" x14ac:dyDescent="0.35">
      <c r="A6" s="12">
        <v>35066</v>
      </c>
      <c r="B6" s="13" t="s">
        <v>61</v>
      </c>
      <c r="C6" s="13" t="s">
        <v>65</v>
      </c>
      <c r="D6" s="13" t="s">
        <v>62</v>
      </c>
      <c r="E6" s="13">
        <v>34</v>
      </c>
    </row>
    <row r="7" spans="1:5" ht="15" customHeight="1" thickBot="1" x14ac:dyDescent="0.35">
      <c r="A7" s="12">
        <v>35066</v>
      </c>
      <c r="B7" s="13" t="s">
        <v>63</v>
      </c>
      <c r="C7" s="13" t="s">
        <v>65</v>
      </c>
      <c r="D7" s="13" t="s">
        <v>64</v>
      </c>
      <c r="E7" s="13">
        <v>15</v>
      </c>
    </row>
    <row r="8" spans="1:5" ht="15" customHeight="1" thickBot="1" x14ac:dyDescent="0.35">
      <c r="A8" s="12">
        <v>35067</v>
      </c>
      <c r="B8" s="13" t="s">
        <v>59</v>
      </c>
      <c r="C8" s="13" t="s">
        <v>39</v>
      </c>
      <c r="D8" s="13" t="s">
        <v>60</v>
      </c>
      <c r="E8" s="13">
        <v>48</v>
      </c>
    </row>
    <row r="9" spans="1:5" ht="15" customHeight="1" thickBot="1" x14ac:dyDescent="0.35">
      <c r="A9" s="12">
        <v>35067</v>
      </c>
      <c r="B9" s="13" t="s">
        <v>61</v>
      </c>
      <c r="C9" s="13" t="s">
        <v>65</v>
      </c>
      <c r="D9" s="13" t="s">
        <v>62</v>
      </c>
      <c r="E9" s="13">
        <v>12</v>
      </c>
    </row>
    <row r="10" spans="1:5" ht="15" customHeight="1" thickBot="1" x14ac:dyDescent="0.35">
      <c r="A10" s="12">
        <v>35067</v>
      </c>
      <c r="B10" s="13" t="s">
        <v>63</v>
      </c>
      <c r="C10" s="13" t="s">
        <v>65</v>
      </c>
      <c r="D10" s="13" t="s">
        <v>64</v>
      </c>
      <c r="E10" s="13">
        <v>16</v>
      </c>
    </row>
    <row r="11" spans="1:5" ht="15" customHeight="1" thickBot="1" x14ac:dyDescent="0.35">
      <c r="A11" s="12">
        <v>35068</v>
      </c>
      <c r="B11" s="13" t="s">
        <v>59</v>
      </c>
      <c r="C11" s="13" t="s">
        <v>65</v>
      </c>
      <c r="D11" s="13" t="s">
        <v>60</v>
      </c>
      <c r="E11" s="13">
        <v>27</v>
      </c>
    </row>
    <row r="12" spans="1:5" ht="15" customHeight="1" thickBot="1" x14ac:dyDescent="0.35">
      <c r="A12" s="12">
        <v>35068</v>
      </c>
      <c r="B12" s="13" t="s">
        <v>61</v>
      </c>
      <c r="C12" s="13" t="s">
        <v>39</v>
      </c>
      <c r="D12" s="13" t="s">
        <v>62</v>
      </c>
      <c r="E12" s="13">
        <v>29</v>
      </c>
    </row>
    <row r="13" spans="1:5" ht="15" customHeight="1" thickBot="1" x14ac:dyDescent="0.35">
      <c r="A13" s="12">
        <v>35069</v>
      </c>
      <c r="B13" s="13" t="s">
        <v>63</v>
      </c>
      <c r="C13" s="13" t="s">
        <v>65</v>
      </c>
      <c r="D13" s="13" t="s">
        <v>64</v>
      </c>
      <c r="E13" s="13">
        <v>32</v>
      </c>
    </row>
    <row r="14" spans="1:5" ht="15" customHeight="1" thickBot="1" x14ac:dyDescent="0.35">
      <c r="A14" s="12">
        <v>35070</v>
      </c>
      <c r="B14" s="13" t="s">
        <v>59</v>
      </c>
      <c r="C14" s="13" t="s">
        <v>39</v>
      </c>
      <c r="D14" s="13" t="s">
        <v>60</v>
      </c>
      <c r="E14" s="13">
        <v>39</v>
      </c>
    </row>
    <row r="15" spans="1:5" ht="15" customHeight="1" thickBot="1" x14ac:dyDescent="0.35">
      <c r="A15" s="12">
        <v>35070</v>
      </c>
      <c r="B15" s="13" t="s">
        <v>61</v>
      </c>
      <c r="C15" s="13" t="s">
        <v>65</v>
      </c>
      <c r="D15" s="13" t="s">
        <v>62</v>
      </c>
      <c r="E15" s="13">
        <v>31</v>
      </c>
    </row>
    <row r="16" spans="1:5" ht="15" customHeight="1" thickBot="1" x14ac:dyDescent="0.35">
      <c r="A16" s="12">
        <v>35071</v>
      </c>
      <c r="B16" s="13" t="s">
        <v>63</v>
      </c>
      <c r="C16" s="13" t="s">
        <v>39</v>
      </c>
      <c r="D16" s="13" t="s">
        <v>64</v>
      </c>
      <c r="E16" s="13">
        <v>41</v>
      </c>
    </row>
    <row r="17" spans="1:5" ht="15" customHeight="1" thickBot="1" x14ac:dyDescent="0.35">
      <c r="A17" s="12">
        <v>35071</v>
      </c>
      <c r="B17" s="13" t="s">
        <v>59</v>
      </c>
      <c r="C17" s="13" t="s">
        <v>65</v>
      </c>
      <c r="D17" s="13" t="s">
        <v>60</v>
      </c>
      <c r="E17" s="13">
        <v>5</v>
      </c>
    </row>
    <row r="18" spans="1:5" ht="15" customHeight="1" thickBot="1" x14ac:dyDescent="0.35">
      <c r="A18" s="12">
        <v>35071</v>
      </c>
      <c r="B18" s="13" t="s">
        <v>61</v>
      </c>
      <c r="C18" s="13" t="s">
        <v>65</v>
      </c>
      <c r="D18" s="13" t="s">
        <v>62</v>
      </c>
      <c r="E18" s="13">
        <v>13</v>
      </c>
    </row>
    <row r="19" spans="1:5" ht="15" customHeight="1" thickBot="1" x14ac:dyDescent="0.35">
      <c r="A19" s="12">
        <v>35072</v>
      </c>
      <c r="B19" s="13" t="s">
        <v>63</v>
      </c>
      <c r="C19" s="13" t="s">
        <v>39</v>
      </c>
      <c r="D19" s="13" t="s">
        <v>64</v>
      </c>
      <c r="E19" s="13">
        <v>17</v>
      </c>
    </row>
    <row r="20" spans="1:5" ht="15" customHeight="1" thickBot="1" x14ac:dyDescent="0.35">
      <c r="A20" s="12">
        <v>35076</v>
      </c>
      <c r="B20" s="13" t="s">
        <v>59</v>
      </c>
      <c r="C20" s="13" t="s">
        <v>39</v>
      </c>
      <c r="D20" s="13" t="s">
        <v>60</v>
      </c>
      <c r="E20" s="13">
        <v>14</v>
      </c>
    </row>
    <row r="21" spans="1:5" ht="15" customHeight="1" thickBot="1" x14ac:dyDescent="0.35">
      <c r="A21" s="12">
        <v>35079</v>
      </c>
      <c r="B21" s="13" t="s">
        <v>61</v>
      </c>
      <c r="C21" s="13" t="s">
        <v>65</v>
      </c>
      <c r="D21" s="13" t="s">
        <v>62</v>
      </c>
      <c r="E21" s="13">
        <v>23</v>
      </c>
    </row>
    <row r="22" spans="1:5" ht="15" customHeight="1" thickBot="1" x14ac:dyDescent="0.35">
      <c r="A22" s="12">
        <v>35082</v>
      </c>
      <c r="B22" s="13" t="s">
        <v>63</v>
      </c>
      <c r="C22" s="13" t="s">
        <v>39</v>
      </c>
      <c r="D22" s="13" t="s">
        <v>64</v>
      </c>
      <c r="E22" s="13">
        <v>25</v>
      </c>
    </row>
    <row r="23" spans="1:5" ht="15" customHeight="1" thickBot="1" x14ac:dyDescent="0.35">
      <c r="A23" s="12">
        <v>35082</v>
      </c>
      <c r="B23" s="13" t="s">
        <v>59</v>
      </c>
      <c r="C23" s="13" t="s">
        <v>39</v>
      </c>
      <c r="D23" s="13" t="s">
        <v>60</v>
      </c>
      <c r="E23" s="13">
        <v>28</v>
      </c>
    </row>
    <row r="24" spans="1:5" ht="15" customHeight="1" thickBot="1" x14ac:dyDescent="0.35">
      <c r="A24" s="12">
        <v>35085</v>
      </c>
      <c r="B24" s="13" t="s">
        <v>61</v>
      </c>
      <c r="C24" s="13" t="s">
        <v>65</v>
      </c>
      <c r="D24" s="13" t="s">
        <v>62</v>
      </c>
      <c r="E24" s="13">
        <v>34</v>
      </c>
    </row>
    <row r="25" spans="1:5" ht="15" customHeight="1" thickBot="1" x14ac:dyDescent="0.35">
      <c r="A25" s="12">
        <v>35089</v>
      </c>
      <c r="B25" s="13" t="s">
        <v>63</v>
      </c>
      <c r="C25" s="13" t="s">
        <v>39</v>
      </c>
      <c r="D25" s="13" t="s">
        <v>64</v>
      </c>
      <c r="E25" s="13">
        <v>16</v>
      </c>
    </row>
    <row r="26" spans="1:5" ht="15" customHeight="1" thickBot="1" x14ac:dyDescent="0.35">
      <c r="A26" s="12">
        <v>35089</v>
      </c>
      <c r="B26" s="13" t="s">
        <v>59</v>
      </c>
      <c r="C26" s="13" t="s">
        <v>39</v>
      </c>
      <c r="D26" s="13" t="s">
        <v>60</v>
      </c>
      <c r="E26" s="13">
        <v>15</v>
      </c>
    </row>
    <row r="27" spans="1:5" ht="15" customHeight="1" thickBot="1" x14ac:dyDescent="0.35">
      <c r="A27" s="12">
        <v>35090</v>
      </c>
      <c r="B27" s="13" t="s">
        <v>61</v>
      </c>
      <c r="C27" s="13" t="s">
        <v>65</v>
      </c>
      <c r="D27" s="13" t="s">
        <v>62</v>
      </c>
      <c r="E27" s="13">
        <v>18</v>
      </c>
    </row>
    <row r="28" spans="1:5" ht="15" customHeight="1" thickBot="1" x14ac:dyDescent="0.35">
      <c r="A28" s="12">
        <v>35090</v>
      </c>
      <c r="B28" s="13" t="s">
        <v>63</v>
      </c>
      <c r="C28" s="13" t="s">
        <v>65</v>
      </c>
      <c r="D28" s="13" t="s">
        <v>64</v>
      </c>
      <c r="E28" s="13">
        <v>15</v>
      </c>
    </row>
    <row r="29" spans="1:5" ht="15" customHeight="1" thickBot="1" x14ac:dyDescent="0.35">
      <c r="A29" s="12">
        <v>35091</v>
      </c>
      <c r="B29" s="13" t="s">
        <v>59</v>
      </c>
      <c r="C29" s="13" t="s">
        <v>39</v>
      </c>
      <c r="D29" s="13" t="s">
        <v>60</v>
      </c>
      <c r="E29" s="13">
        <v>27</v>
      </c>
    </row>
    <row r="30" spans="1:5" ht="15" customHeight="1" thickBot="1" x14ac:dyDescent="0.35">
      <c r="A30" s="12">
        <v>35092</v>
      </c>
      <c r="B30" s="13" t="s">
        <v>61</v>
      </c>
      <c r="C30" s="13" t="s">
        <v>65</v>
      </c>
      <c r="D30" s="13" t="s">
        <v>62</v>
      </c>
      <c r="E30" s="13">
        <v>14</v>
      </c>
    </row>
    <row r="31" spans="1:5" ht="15" customHeight="1" thickBot="1" x14ac:dyDescent="0.35">
      <c r="A31" s="12">
        <v>35092</v>
      </c>
      <c r="B31" s="13" t="s">
        <v>63</v>
      </c>
      <c r="C31" s="13" t="s">
        <v>39</v>
      </c>
      <c r="D31" s="13" t="s">
        <v>64</v>
      </c>
      <c r="E31" s="13">
        <v>13</v>
      </c>
    </row>
    <row r="32" spans="1:5" ht="15" customHeight="1" thickBot="1" x14ac:dyDescent="0.35">
      <c r="A32" s="12">
        <v>35092</v>
      </c>
      <c r="B32" s="13" t="s">
        <v>59</v>
      </c>
      <c r="C32" s="13" t="s">
        <v>39</v>
      </c>
      <c r="D32" s="13" t="s">
        <v>60</v>
      </c>
      <c r="E32" s="13">
        <v>7</v>
      </c>
    </row>
    <row r="33" spans="1:5" ht="15" customHeight="1" thickBot="1" x14ac:dyDescent="0.35">
      <c r="A33" s="12">
        <v>35092</v>
      </c>
      <c r="B33" s="13" t="s">
        <v>61</v>
      </c>
      <c r="C33" s="13" t="s">
        <v>65</v>
      </c>
      <c r="D33" s="13" t="s">
        <v>62</v>
      </c>
      <c r="E33" s="13">
        <v>11</v>
      </c>
    </row>
    <row r="34" spans="1:5" ht="15" customHeight="1" thickBot="1" x14ac:dyDescent="0.35">
      <c r="A34" s="12">
        <v>35092</v>
      </c>
      <c r="B34" s="13" t="s">
        <v>63</v>
      </c>
      <c r="C34" s="13" t="s">
        <v>39</v>
      </c>
      <c r="D34" s="13" t="s">
        <v>64</v>
      </c>
      <c r="E34" s="13">
        <v>10</v>
      </c>
    </row>
    <row r="35" spans="1:5" ht="15" customHeight="1" thickBot="1" x14ac:dyDescent="0.35">
      <c r="A35" s="12">
        <v>35093</v>
      </c>
      <c r="B35" s="13" t="s">
        <v>59</v>
      </c>
      <c r="C35" s="13" t="s">
        <v>39</v>
      </c>
      <c r="D35" s="13" t="s">
        <v>60</v>
      </c>
      <c r="E35" s="13">
        <v>12</v>
      </c>
    </row>
    <row r="36" spans="1:5" ht="15" customHeight="1" thickBot="1" x14ac:dyDescent="0.35">
      <c r="A36" s="12">
        <v>35094</v>
      </c>
      <c r="B36" s="13" t="s">
        <v>61</v>
      </c>
      <c r="C36" s="13" t="s">
        <v>65</v>
      </c>
      <c r="D36" s="13" t="s">
        <v>62</v>
      </c>
      <c r="E36" s="13">
        <v>15</v>
      </c>
    </row>
    <row r="37" spans="1:5" ht="15" customHeight="1" thickBot="1" x14ac:dyDescent="0.35">
      <c r="A37" s="12">
        <v>35094</v>
      </c>
      <c r="B37" s="13" t="s">
        <v>63</v>
      </c>
      <c r="C37" s="13" t="s">
        <v>39</v>
      </c>
      <c r="D37" s="13" t="s">
        <v>64</v>
      </c>
      <c r="E37" s="13">
        <v>25</v>
      </c>
    </row>
    <row r="38" spans="1:5" ht="15" customHeight="1" thickBot="1" x14ac:dyDescent="0.35">
      <c r="A38" s="12">
        <v>35094</v>
      </c>
      <c r="B38" s="13" t="s">
        <v>59</v>
      </c>
      <c r="C38" s="13" t="s">
        <v>39</v>
      </c>
      <c r="D38" s="13" t="s">
        <v>60</v>
      </c>
      <c r="E38" s="13">
        <v>17</v>
      </c>
    </row>
    <row r="39" spans="1:5" ht="15" customHeight="1" thickBot="1" x14ac:dyDescent="0.35">
      <c r="A39" s="12">
        <v>35095</v>
      </c>
      <c r="B39" s="13" t="s">
        <v>61</v>
      </c>
      <c r="C39" s="13" t="s">
        <v>65</v>
      </c>
      <c r="D39" s="13" t="s">
        <v>62</v>
      </c>
      <c r="E39" s="13">
        <v>16</v>
      </c>
    </row>
    <row r="40" spans="1:5" ht="15" customHeight="1" thickBot="1" x14ac:dyDescent="0.35">
      <c r="A40" s="12">
        <v>35095</v>
      </c>
      <c r="B40" s="13" t="s">
        <v>63</v>
      </c>
      <c r="C40" s="13" t="s">
        <v>39</v>
      </c>
      <c r="D40" s="13" t="s">
        <v>64</v>
      </c>
      <c r="E40" s="1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2_Demo Grp Filter</vt:lpstr>
      <vt:lpstr>2_ Demo Consol-1</vt:lpstr>
      <vt:lpstr>2_Demo Consol-2</vt:lpstr>
      <vt:lpstr>2_Demo Consol-3</vt:lpstr>
      <vt:lpstr>2_Demo Consol-4</vt:lpstr>
      <vt:lpstr>2_Demo_Consol-F</vt:lpstr>
      <vt:lpstr>3_Demo Charts</vt:lpstr>
      <vt:lpstr>4_Demo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jaideepsinh</dc:creator>
  <cp:lastModifiedBy>Vedik Jesani</cp:lastModifiedBy>
  <dcterms:created xsi:type="dcterms:W3CDTF">2019-08-06T08:25:48Z</dcterms:created>
  <dcterms:modified xsi:type="dcterms:W3CDTF">2026-02-14T10:23:07Z</dcterms:modified>
</cp:coreProperties>
</file>